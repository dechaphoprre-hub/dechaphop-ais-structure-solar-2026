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10440" activeTab="1"/>
  </bookViews>
  <sheets>
    <sheet name="HTML Generator Dashboard" sheetId="1" r:id="rId1"/>
    <sheet name="Drawing List Database" sheetId="2" r:id="rId2"/>
    <sheet name="Sheet1" sheetId="3" r:id="rId3"/>
  </sheets>
  <definedNames>
    <definedName name="_xlnm._FilterDatabase" localSheetId="1" hidden="1">'Drawing List Database'!$A$1:$F$85</definedName>
    <definedName name="_xlnm._FilterDatabase" localSheetId="2" hidden="1">Sheet1!$B$2:$E$86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<sst xmlns="http://schemas.openxmlformats.org/spreadsheetml/2006/main" count="689" uniqueCount="376">
  <si>
    <t>Hia Solar Master Design v2.0 - LINE OA Drawing Content Portal Generator</t>
  </si>
  <si>
    <t>ระบบแปลงข้อมูลรายการแบบถอยประกอบจาก Excel ให้เป็น Code หน้าเว็บโมเดิร์นคลีน (Dark Theme)</t>
  </si>
  <si>
    <t>หมวดหมู่หลัก (Main Cat)</t>
  </si>
  <si>
    <t>Vendor</t>
  </si>
  <si>
    <t>Structure Type</t>
  </si>
  <si>
    <t>Structure Code</t>
  </si>
  <si>
    <t>Material Code</t>
  </si>
  <si>
    <t>Google Drive File URL</t>
  </si>
  <si>
    <t>E1</t>
  </si>
  <si>
    <t>Huawei 2020</t>
  </si>
  <si>
    <t>1-Leg</t>
  </si>
  <si>
    <t>E1-G1L-HW.pdf</t>
  </si>
  <si>
    <t>Hatari</t>
  </si>
  <si>
    <t>E1-G1L-C-Hatari-1-Slab.pdf</t>
  </si>
  <si>
    <t>E1-G1L-C-Hatari-1-Soil.pdf</t>
  </si>
  <si>
    <t>E1-G1L-C-Hatari-2-Slab.pdf</t>
  </si>
  <si>
    <t>E1-G1L-C-Hatari-2-Soil.pdf</t>
  </si>
  <si>
    <t>A-Plus</t>
  </si>
  <si>
    <t>E1-G1L-C-Aplus-Slab.pdf</t>
  </si>
  <si>
    <t>Transpower</t>
  </si>
  <si>
    <t>E1-G1L-C-Transpower-H-Slab.pdf</t>
  </si>
  <si>
    <t>New request-2</t>
  </si>
  <si>
    <t>E1-G1L-C-Transpower-H-Soil.pdf</t>
  </si>
  <si>
    <t>New request-3</t>
  </si>
  <si>
    <t>E1-G1L-C-Transpower-V-Slab.pdf</t>
  </si>
  <si>
    <t>New request-4</t>
  </si>
  <si>
    <t>E1-G1L-C-Transpower-V-Soil.pdf</t>
  </si>
  <si>
    <t>New request-5</t>
  </si>
  <si>
    <t>2-Leg</t>
  </si>
  <si>
    <t>E1-G2L-HW.pdf</t>
  </si>
  <si>
    <t>Qualia</t>
  </si>
  <si>
    <t>E1-G2L-C-Qualia.pdf</t>
  </si>
  <si>
    <t>Interlink</t>
  </si>
  <si>
    <t>E1-G2L-C-ITEL-Slab.pdf</t>
  </si>
  <si>
    <t>E1-G1L-MRV-3PV-4PV_Soil.pdf</t>
  </si>
  <si>
    <t>E1-G2L-C-Aplus-Soil.pdf</t>
  </si>
  <si>
    <t>1-Layer</t>
  </si>
  <si>
    <t>E1-T1-APlus.pdf</t>
  </si>
  <si>
    <t>2-Layer (4+2)</t>
  </si>
  <si>
    <t>E1-T2-Aplus.pdf</t>
  </si>
  <si>
    <t>E2</t>
  </si>
  <si>
    <t>E2-G2L-C-Aplus-Slab.pdf</t>
  </si>
  <si>
    <t>E2-G2L-C-Qualia-Slab.pdf</t>
  </si>
  <si>
    <t>E2-G2L-C-Qualia-Soil.pdf</t>
  </si>
  <si>
    <t>E2-G2L-C-ITEL-Slab.pdf</t>
  </si>
  <si>
    <t>New request-17</t>
  </si>
  <si>
    <t>2-Layer (6+2)</t>
  </si>
  <si>
    <t>E2-T2-Aplus-1.pdf</t>
  </si>
  <si>
    <t>New request-18</t>
  </si>
  <si>
    <t>E2-T2-Aplus-2.pdf</t>
  </si>
  <si>
    <t>New request-19</t>
  </si>
  <si>
    <t>N1</t>
  </si>
  <si>
    <t>TCC</t>
  </si>
  <si>
    <t>N1-G1L-Soil.pdf</t>
  </si>
  <si>
    <t>N1-G1L-Slab.pdf</t>
  </si>
  <si>
    <t>1-Layer (L-Leg)</t>
  </si>
  <si>
    <t>N1-T1-L.pdf</t>
  </si>
  <si>
    <t>1-Layer (Pipe-Leg)</t>
  </si>
  <si>
    <t>N1-T1-P.pdf</t>
  </si>
  <si>
    <t>N2</t>
  </si>
  <si>
    <t>N2-G1L-Soil.pdf</t>
  </si>
  <si>
    <t>N2-T1-L.pdf</t>
  </si>
  <si>
    <t>N2-T1-P.pdf</t>
  </si>
  <si>
    <t>Container</t>
  </si>
  <si>
    <t>N2-CR-Corner Box.pdf</t>
  </si>
  <si>
    <t>N2-CR-Transfer Beam.pdf</t>
  </si>
  <si>
    <t>N3</t>
  </si>
  <si>
    <t>N3-G1L-Soil.pdf</t>
  </si>
  <si>
    <t>N3-G2L-Soil.pdf</t>
  </si>
  <si>
    <t>N3-T1-L.pdf</t>
  </si>
  <si>
    <t>N3-T1-P.pdf</t>
  </si>
  <si>
    <t>2-Layer 4+2 (L-Leg)</t>
  </si>
  <si>
    <t>N3-T2-L.pdf</t>
  </si>
  <si>
    <t>2-Layer 4+2 (Pipe Leg)</t>
  </si>
  <si>
    <t>N3-T2-P.pdf</t>
  </si>
  <si>
    <t>N3-T2-L-SHADING OPTION.pdf</t>
  </si>
  <si>
    <t>N3-T2-P-SHADING OPTION.pdf</t>
  </si>
  <si>
    <t>N3-CR-Corner Box.pdf</t>
  </si>
  <si>
    <t>N3-CR-Transfer Beam.pdf</t>
  </si>
  <si>
    <t>N4</t>
  </si>
  <si>
    <t>N4-G2L-Soil.pdf</t>
  </si>
  <si>
    <t>N4-G2L-Slab.pdf</t>
  </si>
  <si>
    <t>4-Leg</t>
  </si>
  <si>
    <t>N4-G4L-Soil.pdf</t>
  </si>
  <si>
    <t>2-Layer 6+2 (L-Leg)</t>
  </si>
  <si>
    <t>N4-T2-L.pdf</t>
  </si>
  <si>
    <t>2-Layer 6+2 (Pipe Leg)</t>
  </si>
  <si>
    <t>N4-T2-P.pdf</t>
  </si>
  <si>
    <t>N4-CR-2.6-Corner Box.pdf</t>
  </si>
  <si>
    <t>N4-CR-3.0-Corner Box.pdf</t>
  </si>
  <si>
    <t>N4-CR-2.6-Transfer Beam.pdf</t>
  </si>
  <si>
    <t>N4-CR-3.0-Transfer Beam.pdf</t>
  </si>
  <si>
    <t>R1</t>
  </si>
  <si>
    <t>Roof 6 PV</t>
  </si>
  <si>
    <t>R1-R4L.pdf</t>
  </si>
  <si>
    <t>R2</t>
  </si>
  <si>
    <t>Roof 8 PV</t>
  </si>
  <si>
    <t>R2-R4L.pdf</t>
  </si>
  <si>
    <t>R3</t>
  </si>
  <si>
    <t>Roof 10 PV</t>
  </si>
  <si>
    <t>R3-R6L.pdf</t>
  </si>
  <si>
    <t>R2-R4L-H.pdf</t>
  </si>
  <si>
    <t>R3-R6L-H.pdf</t>
  </si>
  <si>
    <t>R2PV</t>
  </si>
  <si>
    <t>Roof 2 PV</t>
  </si>
  <si>
    <t>R4L-2PV.pdf</t>
  </si>
  <si>
    <t>R4L-H-2PV.pdf</t>
  </si>
  <si>
    <t>R4PV</t>
  </si>
  <si>
    <t>Roof 4 PV</t>
  </si>
  <si>
    <t>R4L-4PV.pdf</t>
  </si>
  <si>
    <t>R4L-H-4PV.pdf</t>
  </si>
  <si>
    <t>N5-CR-Corner Box.pdf</t>
  </si>
  <si>
    <t>N5-CR-Transfer Beam.pdf</t>
  </si>
  <si>
    <t>E2-G2L-C-ITEL-Soil.pdf</t>
  </si>
  <si>
    <t>E1-G1L-C-ITEL-Slab.pdf</t>
  </si>
  <si>
    <t>E1-G1L-C-ITEL-Soil.pdf</t>
  </si>
  <si>
    <t>New request-1</t>
  </si>
  <si>
    <t>E2-G2L-HW-H3.0-Slab.pdf</t>
  </si>
  <si>
    <t>New request-16</t>
  </si>
  <si>
    <t>E2-G2L-HW-H3.0-Soil.pdf</t>
  </si>
  <si>
    <t>M.R.V</t>
  </si>
  <si>
    <t>E1-T1-L-MRV-1.pdf</t>
  </si>
  <si>
    <t>E1-T1-L-MRV-2.pdf</t>
  </si>
  <si>
    <t>E1-T1-MRV-6PV_Ver.pdf</t>
  </si>
  <si>
    <t>New request-12</t>
  </si>
  <si>
    <t>Petchtanjai</t>
  </si>
  <si>
    <t>E1-G4L-Petchtanjai.pdf</t>
  </si>
  <si>
    <t>E1-G1L-C-Aplus-Soil.pdf</t>
  </si>
  <si>
    <t>E1-G2L-C-Aplus-Slab.pdf</t>
  </si>
  <si>
    <t>E2-G2L-C-Aplus-Soil.pdf</t>
  </si>
  <si>
    <t>N2-G1L-Slab.pdf</t>
  </si>
  <si>
    <t>N3-G1L-Slab.pdf</t>
  </si>
  <si>
    <t>N3-G4L-Soil.pdf</t>
  </si>
  <si>
    <t>R1-R4L-H.pdf</t>
  </si>
  <si>
    <t>Hatari/AAL</t>
  </si>
  <si>
    <t>E1-G4L-H2.5-Hatari.pdf</t>
  </si>
  <si>
    <t>E1-G4L-H3.5-Hatari.pdf</t>
  </si>
  <si>
    <t>E1-G1L-MRV-3PV-2PV.pdf</t>
  </si>
  <si>
    <t>New request-6</t>
  </si>
  <si>
    <t>E1-G1L-MRV-3PV-4PV_Slab.pdf</t>
  </si>
  <si>
    <t>New request-7</t>
  </si>
  <si>
    <t>E1-T1-MRV-3PV-2PV.pdf</t>
  </si>
  <si>
    <t>New request-10</t>
  </si>
  <si>
    <t>E1-T1-MRV-3PV-4PV.pdf</t>
  </si>
  <si>
    <t>New request-11</t>
  </si>
  <si>
    <t>2-Layer</t>
  </si>
  <si>
    <t>E1-T2-MRV-3+3PV-4+2PV</t>
  </si>
  <si>
    <t>wait</t>
  </si>
  <si>
    <t>Structure Name</t>
  </si>
  <si>
    <t>File Name</t>
  </si>
  <si>
    <t>File ID</t>
  </si>
  <si>
    <t>E1-G4L-Petchtanjai</t>
  </si>
  <si>
    <t>1E3iM_fQdEkK-F5j8NdfkVghGY0hr7pCQ</t>
  </si>
  <si>
    <t>E1-G1L-C-Hatari-2-Soil</t>
  </si>
  <si>
    <t>081301500258</t>
  </si>
  <si>
    <t>1kBKgOelz0qlK5AEENq8V6xkgVn17rgte</t>
  </si>
  <si>
    <t>E2-G2L-C-Aplus-Slab</t>
  </si>
  <si>
    <t>081301500261</t>
  </si>
  <si>
    <t>1ULlDfXUrJykZV3D-Hcj0CExSMgAW1FoH</t>
  </si>
  <si>
    <t>E2-T2-Aplus-1</t>
  </si>
  <si>
    <t>1Tku1Syx86WBxUmLAVBPV1xPWbWQG8rsv</t>
  </si>
  <si>
    <t>E1-G1L-MRV-3PV-4PV_Soil</t>
  </si>
  <si>
    <t>136Dmht6m_OF3coDAYRVAB1xBq9ZWqRiO</t>
  </si>
  <si>
    <t>E1-G1L-MRV-3PV-4PV_Slab</t>
  </si>
  <si>
    <t>1c4h-9rUZDxBdG4tCUTKrZx0VOzHVcA5g</t>
  </si>
  <si>
    <t>E1-G1L-C-Transpower-V-Soil</t>
  </si>
  <si>
    <t>172DCyPSuXJYpT4Ws7FigO5ENDNIrmTPG</t>
  </si>
  <si>
    <t>E1-G1L-C-Transpower-V-Slab</t>
  </si>
  <si>
    <t>100nbKdr6FIAClLOncY0C0aIM0h0AG2d9</t>
  </si>
  <si>
    <t>E1-G1L-C-Transpower-H-Soil</t>
  </si>
  <si>
    <t>11K1f04ZLijvHhHieef3OME7LgRV2a-rB</t>
  </si>
  <si>
    <t>E1-G1L-C-Transpower-H-Slab</t>
  </si>
  <si>
    <t>10In5XjyZlfD15fBecD3lrLwj9hkpWNXn</t>
  </si>
  <si>
    <t>E1-T1-MRV-3PV-4PV</t>
  </si>
  <si>
    <t>1D0fPzrHWduR11PsbIv2Bw0xtQNsKDbNH</t>
  </si>
  <si>
    <t>E2-G2L-C-Qualia-Soil</t>
  </si>
  <si>
    <t>081301500253</t>
  </si>
  <si>
    <t>18igEpbLm_ONenrCMJadgAzpFPZbGhoUe</t>
  </si>
  <si>
    <t>E1-G2L-C-Qualia</t>
  </si>
  <si>
    <t>081301500167</t>
  </si>
  <si>
    <t>1mXHFwhsW8N4APfwTeo899MHBAw8xNHSR</t>
  </si>
  <si>
    <t>N1-G1L-Soil</t>
  </si>
  <si>
    <t>081301500176</t>
  </si>
  <si>
    <t>1-IeVCm7MaL17VBfeMXbmz-jABWUCj8qu</t>
  </si>
  <si>
    <t>E1-T1-L-MRV-1</t>
  </si>
  <si>
    <t>1bi3vbRiTYhBtAcBnaH8JcyBMQvHLftq-</t>
  </si>
  <si>
    <t>E1-G1L-HW</t>
  </si>
  <si>
    <t>1yNq4z9_Zf-EVsKqtNbuQ5v4W9xOfnsT3</t>
  </si>
  <si>
    <t>R4L-H-4PV</t>
  </si>
  <si>
    <t>081301500248</t>
  </si>
  <si>
    <t>1JN2mg2hgea-FZrA8nqb6BeaVpHqD2AyV</t>
  </si>
  <si>
    <t>R2-R4L-H</t>
  </si>
  <si>
    <t>081301500247</t>
  </si>
  <si>
    <t>1ngdzMz6BcW1MMXfynPFkyChxdYwAHDiY</t>
  </si>
  <si>
    <t>E1-G2L-C-Aplus-Soil</t>
  </si>
  <si>
    <t>081301500171</t>
  </si>
  <si>
    <t>1LQSZp8WBfiz8GKZHyjP7E1BWAclDvbr1</t>
  </si>
  <si>
    <t>E1-T1-APlus</t>
  </si>
  <si>
    <t>081301500239</t>
  </si>
  <si>
    <t>13drwIPa8sG3i1ILXjSrA0O_EVP67SN0l</t>
  </si>
  <si>
    <t>E1-G4L-H3.5-Hatari</t>
  </si>
  <si>
    <t>1hXgsTqbUAUOYyo5Yk8-wW8Vebtc8XVQg</t>
  </si>
  <si>
    <t>E1-G4L-H2.5-Hatari</t>
  </si>
  <si>
    <t>1uZ_nTiNFX39rNKRVxPdqRqJT_SIIK_9q</t>
  </si>
  <si>
    <t>R1-R4L-H</t>
  </si>
  <si>
    <t>081301500240</t>
  </si>
  <si>
    <t>104ST2J54j7kbRuXOG_8zTRnz40P3F9jA</t>
  </si>
  <si>
    <t>E1-G1L-C-Aplus-Soil</t>
  </si>
  <si>
    <t>081301500255</t>
  </si>
  <si>
    <t>11bpfI4rfF9_ccIsYiRFVHfkL4wvcZUPf</t>
  </si>
  <si>
    <t>E1-T1-L-MRV-2</t>
  </si>
  <si>
    <t>16IEbenyjp10vcTqVir_xX3UnIC_lQQkq</t>
  </si>
  <si>
    <t>N4-G2L-Slab</t>
  </si>
  <si>
    <t>081301500254</t>
  </si>
  <si>
    <t>1dXmQvqHc7Bejnl3JNBMf0ez8bQsa2kbL</t>
  </si>
  <si>
    <t>N3-T2-P</t>
  </si>
  <si>
    <t>081301500231</t>
  </si>
  <si>
    <t>1H_DunUA-m0ENGxK8WLnlRNEjZNLz3u9-</t>
  </si>
  <si>
    <t>N3-T2-L</t>
  </si>
  <si>
    <t>081301500236</t>
  </si>
  <si>
    <t>1fgjfoJghOl51nQacxox1dTYdpNo_Typh</t>
  </si>
  <si>
    <t>N1-T1-L</t>
  </si>
  <si>
    <t>081301500188</t>
  </si>
  <si>
    <t>1pP2-MjeVOrGTnnRyQwaa49kvZqkAd9Ym</t>
  </si>
  <si>
    <t>N1-G1L-Slab</t>
  </si>
  <si>
    <t>081301500232</t>
  </si>
  <si>
    <t>1hm_iIRFcO_CmXTF15AmwqXIwVAkQE4n2</t>
  </si>
  <si>
    <t>E1-T2-Aplus</t>
  </si>
  <si>
    <t>1tAi1YK8aU1n1DABUVJK1cOugzhNYQdf9</t>
  </si>
  <si>
    <t>E1-G2L-HW</t>
  </si>
  <si>
    <t>081301500166</t>
  </si>
  <si>
    <t>18XWF2f2vyKhemprwF-_oVq6AqoFMxsri</t>
  </si>
  <si>
    <t>E1-G1L-C-Aplus-Slab</t>
  </si>
  <si>
    <t>081301500173</t>
  </si>
  <si>
    <t>1geEYmQI6fINaxQkXCKeWmB_3CZB2m8bW</t>
  </si>
  <si>
    <t>E1-G1L-C-Hatari-2-Slab</t>
  </si>
  <si>
    <t>1r8JLhcKS6rCZbfiUy66nXE8VJA6kX_F9</t>
  </si>
  <si>
    <t>N3-G1L-Slab</t>
  </si>
  <si>
    <t>081301500263</t>
  </si>
  <si>
    <t>1TN8Y18S6wEhaX-oYxe4OcE9qDZiuuNvM</t>
  </si>
  <si>
    <t>N2-G1L-Slab</t>
  </si>
  <si>
    <t>081301500241</t>
  </si>
  <si>
    <t>19sach7Bnb3Chij2_rrX5kC6n-Vbo8fNx</t>
  </si>
  <si>
    <t>E2-G2L-C-Aplus-Soil</t>
  </si>
  <si>
    <t>081301500265</t>
  </si>
  <si>
    <t>1YtoEUUvgCLiQnIhOiMyvVcGWnrW9Saub</t>
  </si>
  <si>
    <t>E1-G2L-C-Aplus-Slab</t>
  </si>
  <si>
    <t>081301500266</t>
  </si>
  <si>
    <t>17X41Eeu8QM69lPLvgcYIGt4LEhBRjfh8</t>
  </si>
  <si>
    <t>E1-G1L-MRV-3PV-2PV</t>
  </si>
  <si>
    <t>1sg8m3KNgKqCz4Co1FKO82cwDcfJ7foWF</t>
  </si>
  <si>
    <t>E1-T1-MRV-3PV-2PV</t>
  </si>
  <si>
    <t>1ZOqqwQj9gznpy9OClo2QmvMP7H9L79Nx</t>
  </si>
  <si>
    <t>E1-G1L-MRV-3PV-4PV</t>
  </si>
  <si>
    <t>E1-G1L-MRV-3PV-4PV.pdf</t>
  </si>
  <si>
    <t>1n4AlsiZPYTMFAmBZAK4smZVTgL1n5jtt</t>
  </si>
  <si>
    <t>E1-G1L-C-ITEL-Slab</t>
  </si>
  <si>
    <t>081301500164</t>
  </si>
  <si>
    <t>1Hj6pWsxGwsxqfWiYylNT3PmTl0aQxAu2</t>
  </si>
  <si>
    <t>E1-G1L-C-ITEL-Soil</t>
  </si>
  <si>
    <t>1xXgFAPkNMxnCaOTLT__xt1neCiSgbsKd</t>
  </si>
  <si>
    <t>E2-G2L-HW-H3.0-Soil</t>
  </si>
  <si>
    <t>081301500242</t>
  </si>
  <si>
    <t>1AK-Fqgfcm7fHfAk1ikZ2ZpBhO9eG-rSD</t>
  </si>
  <si>
    <t>E2-G2L-HW-H3.0-Slab</t>
  </si>
  <si>
    <t>13WGzWcME9yEWNRgXBRcux33g3BNq4_Vv</t>
  </si>
  <si>
    <t>E1-G2L-C-ITEL-Slab</t>
  </si>
  <si>
    <t>1LP9R6KvNAS8nKTbS4KHMVgqnekpLUv-v</t>
  </si>
  <si>
    <t>N3-T2-P-SHADING OPTION</t>
  </si>
  <si>
    <t>1SSFbs4_ulLM1_q7oAYhvUfHuco5cRkDd</t>
  </si>
  <si>
    <t>N3-T2-L-SHADING OPTION</t>
  </si>
  <si>
    <t>18710iEOgil3FIfzFvPQIWnHnAFG_qsGU</t>
  </si>
  <si>
    <t>E1-G1L-C-Hatari-1-Soil</t>
  </si>
  <si>
    <t>081301500256</t>
  </si>
  <si>
    <t>1NbIq090KFG_wrYiD-U0-e4P5TCAQYE0U</t>
  </si>
  <si>
    <t>E1-G1L-C-Hatari-1-Slab</t>
  </si>
  <si>
    <t>1UUDUiS7ANbUYhLk3me_8oDn6pMG2jfYT</t>
  </si>
  <si>
    <t>E2-G2L-C-Qualia-Slab</t>
  </si>
  <si>
    <t>081301500260</t>
  </si>
  <si>
    <t>1QZKVeZP4k0ea250yEbvx2tdnWi_KFcyP</t>
  </si>
  <si>
    <t>E2-G2L-C-ITEL-Slab</t>
  </si>
  <si>
    <t>1jAeuS5W1OL07JMYI6w25ehOqjlWCk226</t>
  </si>
  <si>
    <t>E2-G2L-C-ITEL-Soil</t>
  </si>
  <si>
    <t>081301500243</t>
  </si>
  <si>
    <t>17u5UvsqDH7wlvCy00e-ivejIGMsTDddN</t>
  </si>
  <si>
    <t>N5-CR-Transfer Beam</t>
  </si>
  <si>
    <t>081301500234</t>
  </si>
  <si>
    <t>12XL8ptjhhgu1JPETPKiNCUAGEMAwvN2o</t>
  </si>
  <si>
    <t>N5-CR-Corner Box</t>
  </si>
  <si>
    <t>081301500228</t>
  </si>
  <si>
    <t>1DULIu2hcmxgI0U5eZlR9jevf8jcHNt2r</t>
  </si>
  <si>
    <t>R4L-H-2PV</t>
  </si>
  <si>
    <t>081301500259</t>
  </si>
  <si>
    <t>1jSVyi5frJ849dqPCnPn-DU0a_YOKQqdM</t>
  </si>
  <si>
    <t>R4L-2PV</t>
  </si>
  <si>
    <t>081301500264</t>
  </si>
  <si>
    <t>1Kwk1dKRCP2jtnuvbJUoA6NZHhlbgENl4</t>
  </si>
  <si>
    <t>R3-R6L</t>
  </si>
  <si>
    <t>081301500195</t>
  </si>
  <si>
    <t>1XT-1ie2Bro5G2fCnBTmlizTIadux7T5E</t>
  </si>
  <si>
    <t>R2-R4L</t>
  </si>
  <si>
    <t>081301500197</t>
  </si>
  <si>
    <t>1quLPmVfCMFXIygBXsuspxJqTDngm83IJ</t>
  </si>
  <si>
    <t>R1-R4L</t>
  </si>
  <si>
    <t>081301500198</t>
  </si>
  <si>
    <t>17uc7FGzU812YWKBrzR-k38yQi89V8ey9</t>
  </si>
  <si>
    <t>R3-R6L-H</t>
  </si>
  <si>
    <t>081301500252</t>
  </si>
  <si>
    <t>19NbUX1wltKs0Jpt2movM_drNmzrY1rDP</t>
  </si>
  <si>
    <t>R4L-4PV</t>
  </si>
  <si>
    <t>081301500249</t>
  </si>
  <si>
    <t>1iRnik834C4zCUZ6-_vXUHrfCbkLxzVcj</t>
  </si>
  <si>
    <t>N4-CR-3.0-Transfer Beam</t>
  </si>
  <si>
    <t>081301500221</t>
  </si>
  <si>
    <t>18gXq9bgZWc1dqlz3g07XExene2eEw5ZN</t>
  </si>
  <si>
    <t>N4-CR-3.0-Corner Box</t>
  </si>
  <si>
    <t>081301500222</t>
  </si>
  <si>
    <t>1ZddKLBbBh7UmDWt2dYKO3Zo34EfjfkjA</t>
  </si>
  <si>
    <t>N4-CR-2.6-Transfer Beam</t>
  </si>
  <si>
    <t>081301500223</t>
  </si>
  <si>
    <t>1GYbRiMWmgrqDBBPZhZFqbKEWUrfotqE0</t>
  </si>
  <si>
    <t>N4-CR-2.6-Corner Box</t>
  </si>
  <si>
    <t>081301500224</t>
  </si>
  <si>
    <t>1EENm8MMHM8_HrQnHSgmqWZV6cGYV0Zag</t>
  </si>
  <si>
    <t>N4-T2-P</t>
  </si>
  <si>
    <t>081301500189</t>
  </si>
  <si>
    <t>15TiS1yPxSZNFqaIWMgae5BCviDG7Llee</t>
  </si>
  <si>
    <t>N4-T2-L</t>
  </si>
  <si>
    <t>081301500186</t>
  </si>
  <si>
    <t>1gnEgGECb0R7WznIzNeqI6dN0ESnjQnYr</t>
  </si>
  <si>
    <t>N4-G2L-Soil</t>
  </si>
  <si>
    <t>081301500229</t>
  </si>
  <si>
    <t>1ztjmLgFTRjQPj9dJknwyWGuIU8M6dlSM</t>
  </si>
  <si>
    <t>N4-G4L-Soil</t>
  </si>
  <si>
    <t>081301500251</t>
  </si>
  <si>
    <t>1INdXKWDsDH1p9AewSJ3DABzws93eniqE</t>
  </si>
  <si>
    <t>N3-CR-Transfer Beam</t>
  </si>
  <si>
    <t>081301500226</t>
  </si>
  <si>
    <t>1-dymiGJvQVPzjU0UtoDy_KkiufTqC0Z7</t>
  </si>
  <si>
    <t>N3-CR-Corner Box</t>
  </si>
  <si>
    <t>081301500227</t>
  </si>
  <si>
    <t>1wJOAvT3n-jqpkqSsKceDF4raldMf4P4f</t>
  </si>
  <si>
    <t>N3-T1-P</t>
  </si>
  <si>
    <t>081301500233</t>
  </si>
  <si>
    <t>15h-MPpmVXEnJYnqkqoR_eFYFgZ33zf_j</t>
  </si>
  <si>
    <t>N3-T1-L</t>
  </si>
  <si>
    <t>081301500177</t>
  </si>
  <si>
    <t>1HmjIT1rcuDkYsRYeMqx51qCKnFsJOKe-</t>
  </si>
  <si>
    <t>N3-G4L-Soil</t>
  </si>
  <si>
    <t>081301500246</t>
  </si>
  <si>
    <t>1_T9K0nPW9owBG2k5fVnEgBceMj28aqnP</t>
  </si>
  <si>
    <t>N3-G2L-Soil</t>
  </si>
  <si>
    <t>081301500215</t>
  </si>
  <si>
    <t>1ibM_LgVADpHWjnzmO7fzMPoARNBZ7BJS</t>
  </si>
  <si>
    <t>N3-G1L-Soil</t>
  </si>
  <si>
    <t>081301500178</t>
  </si>
  <si>
    <t>1tTwkdj3qDclHwIvRp1XC5KZkRQCracI_</t>
  </si>
  <si>
    <t>N2-CR-Transfer Beam</t>
  </si>
  <si>
    <t>081301500225</t>
  </si>
  <si>
    <t>1ZUXB96PY2hQLi5ZYqUJ2FnJqQNNqI6Fb</t>
  </si>
  <si>
    <t>N2-CR-Corner Box</t>
  </si>
  <si>
    <t>081301500235</t>
  </si>
  <si>
    <t>19p4ljUq-N0pc4ZfrZXFdiW257gu5hm7m</t>
  </si>
  <si>
    <t>N2-T1-P</t>
  </si>
  <si>
    <t>081301500190</t>
  </si>
  <si>
    <t>1KCFLQphtGjUX8GKXdkbn8XZvSWYm-DXv</t>
  </si>
  <si>
    <t>N2-T1-L</t>
  </si>
  <si>
    <t>081301500199</t>
  </si>
  <si>
    <t>1JGmR7t3sswrHFnt4SrQ422zPR7LPfMJa</t>
  </si>
  <si>
    <t>N2-G1L-Soil</t>
  </si>
  <si>
    <t>081301500230</t>
  </si>
  <si>
    <t>1ICZpRmz1GqD-c6fmdk_co7a9KyhWU14J</t>
  </si>
  <si>
    <t>N1-T1-P</t>
  </si>
  <si>
    <t>081301500192</t>
  </si>
  <si>
    <t>1TrCr793kbOCo5707Pxb0TYkYrBuWIGo3</t>
  </si>
  <si>
    <t>E1-T2-MRV-3+3PV-4+2PVใยกด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</si>
</sst>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1"/>
      <color rgb="FFFFFFFF"/>
      <name val="Segoe UI"/>
      <charset val="134"/>
    </font>
    <font>
      <b/>
      <sz val="9"/>
      <color rgb="FFFFFFFF"/>
      <name val="Calibri"/>
      <charset val="134"/>
      <scheme val="minor"/>
    </font>
    <font>
      <b/>
      <sz val="9"/>
      <color rgb="FFFFFFFF"/>
      <name val="Tahoma"/>
      <charset val="134"/>
    </font>
    <font>
      <b/>
      <sz val="9"/>
      <color theme="1"/>
      <name val="Tahoma"/>
      <charset val="134"/>
    </font>
    <font>
      <sz val="9"/>
      <color theme="1"/>
      <name val="Tahoma"/>
      <charset val="134"/>
    </font>
    <font>
      <sz val="9"/>
      <color theme="1"/>
      <name val="Segoe UI"/>
      <charset val="134"/>
    </font>
    <font>
      <b/>
      <sz val="9"/>
      <color rgb="FF0070C0"/>
      <name val="Tahoma"/>
      <charset val="134"/>
    </font>
    <font>
      <sz val="9"/>
      <color theme="1"/>
      <name val="Calibri"/>
      <charset val="134"/>
    </font>
    <font>
      <b/>
      <sz val="16"/>
      <color rgb="FF1A252C"/>
      <name val="Segoe UI"/>
      <charset val="134"/>
    </font>
    <font>
      <i/>
      <sz val="10"/>
      <color rgb="FF555555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A252C"/>
        <bgColor rgb="FF1A252C"/>
      </patternFill>
    </fill>
    <fill>
      <patternFill patternType="solid">
        <fgColor theme="8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7F9FA"/>
        <bgColor indexed="64"/>
      </patternFill>
    </fill>
    <fill>
      <patternFill patternType="solid">
        <fgColor rgb="FFECF0F9"/>
        <bgColor indexed="64"/>
      </patternFill>
    </fill>
    <fill>
      <patternFill patternType="solid">
        <fgColor rgb="FFDEFADE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808080"/>
      </top>
      <bottom style="medium">
        <color rgb="FFD9D9D9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1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13" applyNumberFormat="0" applyAlignment="0" applyProtection="0">
      <alignment vertical="center"/>
    </xf>
    <xf numFmtId="0" fontId="21" fillId="12" borderId="14" applyNumberFormat="0" applyAlignment="0" applyProtection="0">
      <alignment vertical="center"/>
    </xf>
    <xf numFmtId="0" fontId="22" fillId="12" borderId="13" applyNumberFormat="0" applyAlignment="0" applyProtection="0">
      <alignment vertical="center"/>
    </xf>
    <xf numFmtId="0" fontId="23" fillId="13" borderId="15" applyNumberFormat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top" wrapText="1"/>
    </xf>
    <xf numFmtId="0" fontId="4" fillId="4" borderId="4" xfId="0" applyFont="1" applyFill="1" applyBorder="1" applyAlignment="1">
      <alignment horizontal="center" vertical="top" wrapText="1"/>
    </xf>
    <xf numFmtId="0" fontId="5" fillId="5" borderId="5" xfId="0" applyFont="1" applyFill="1" applyBorder="1" applyAlignment="1">
      <alignment horizontal="center" wrapText="1" readingOrder="1"/>
    </xf>
    <xf numFmtId="0" fontId="6" fillId="5" borderId="6" xfId="0" applyFont="1" applyFill="1" applyBorder="1" applyAlignment="1">
      <alignment horizontal="center" wrapText="1" readingOrder="1"/>
    </xf>
    <xf numFmtId="0" fontId="7" fillId="6" borderId="7" xfId="0" applyFont="1" applyFill="1" applyBorder="1" applyAlignment="1">
      <alignment wrapText="1" readingOrder="1"/>
    </xf>
    <xf numFmtId="0" fontId="5" fillId="7" borderId="8" xfId="0" applyFont="1" applyFill="1" applyBorder="1" applyAlignment="1">
      <alignment horizontal="center" wrapText="1" readingOrder="1"/>
    </xf>
    <xf numFmtId="0" fontId="6" fillId="7" borderId="9" xfId="0" applyFont="1" applyFill="1" applyBorder="1" applyAlignment="1">
      <alignment horizontal="center" wrapText="1" readingOrder="1"/>
    </xf>
    <xf numFmtId="0" fontId="6" fillId="5" borderId="9" xfId="0" applyFont="1" applyFill="1" applyBorder="1" applyAlignment="1">
      <alignment horizontal="center" wrapText="1" readingOrder="1"/>
    </xf>
    <xf numFmtId="0" fontId="5" fillId="5" borderId="8" xfId="0" applyFont="1" applyFill="1" applyBorder="1" applyAlignment="1">
      <alignment horizontal="center" wrapText="1" readingOrder="1"/>
    </xf>
    <xf numFmtId="0" fontId="6" fillId="8" borderId="9" xfId="0" applyFont="1" applyFill="1" applyBorder="1" applyAlignment="1">
      <alignment horizontal="center" wrapText="1" readingOrder="1"/>
    </xf>
    <xf numFmtId="0" fontId="8" fillId="7" borderId="8" xfId="0" applyFont="1" applyFill="1" applyBorder="1" applyAlignment="1">
      <alignment horizontal="center" wrapText="1" readingOrder="1"/>
    </xf>
    <xf numFmtId="0" fontId="8" fillId="5" borderId="8" xfId="0" applyFont="1" applyFill="1" applyBorder="1" applyAlignment="1">
      <alignment horizontal="center" wrapText="1" readingOrder="1"/>
    </xf>
    <xf numFmtId="0" fontId="9" fillId="5" borderId="9" xfId="0" applyFont="1" applyFill="1" applyBorder="1" applyAlignment="1">
      <alignment horizontal="center" wrapText="1" readingOrder="1"/>
    </xf>
    <xf numFmtId="0" fontId="1" fillId="5" borderId="9" xfId="0" applyFont="1" applyFill="1" applyBorder="1" applyAlignment="1">
      <alignment wrapText="1" readingOrder="1"/>
    </xf>
    <xf numFmtId="0" fontId="6" fillId="9" borderId="9" xfId="0" applyFont="1" applyFill="1" applyBorder="1" applyAlignment="1">
      <alignment horizontal="center" wrapText="1" readingOrder="1"/>
    </xf>
    <xf numFmtId="0" fontId="0" fillId="0" borderId="0" xfId="0" applyAlignment="1">
      <alignment horizontal="center"/>
    </xf>
    <xf numFmtId="0" fontId="10" fillId="0" borderId="0" xfId="0" applyFont="1"/>
    <xf numFmtId="0" fontId="1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b val="1"/>
        <i val="1"/>
        <color theme="0"/>
      </font>
      <fill>
        <patternFill patternType="solid">
          <bgColor theme="1" tint="0.349986266670736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 val="0"/>
        <i val="0"/>
        <sz val="9"/>
      </font>
      <fill>
        <patternFill patternType="solid">
          <bgColor theme="3" tint="-0.249977111117893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</dxfs>
  <tableStyles count="1" defaultTableStyle="TableStyleMedium9" defaultPivotStyle="PivotStyleLight16">
    <tableStyle name="Slicer Style 1 2" pivot="0" table="0" count="7" xr9:uid="{383CB8D0-B64E-4D79-82DD-1E26D023333B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5">
        <dxf>
          <fill>
            <patternFill patternType="solid">
              <bgColor rgb="FFFFC000"/>
            </patternFill>
          </fill>
          <border>
            <left style="hair">
              <color auto="1"/>
            </left>
            <right style="hair">
              <color auto="1"/>
            </right>
            <top style="hair">
              <color auto="1"/>
            </top>
            <bottom style="hair">
              <color auto="1"/>
            </bottom>
          </border>
        </dxf>
        <dxf>
          <font>
            <color theme="1"/>
          </font>
          <fill>
            <patternFill patternType="solid">
              <bgColor theme="8" tint="0.799768059327982"/>
            </patternFill>
          </fill>
        </dxf>
        <dxf>
          <font>
            <name val="Century Gothic"/>
            <scheme val="none"/>
            <b val="0"/>
            <i val="0"/>
            <u val="none"/>
            <sz val="8"/>
            <color theme="0"/>
          </font>
          <fill>
            <patternFill patternType="solid">
              <bgColor rgb="FF002060"/>
            </patternFill>
          </fill>
          <border>
            <left style="double">
              <color auto="1"/>
            </left>
            <right style="double">
              <color auto="1"/>
            </right>
            <top style="double">
              <color auto="1"/>
            </top>
            <bottom style="double">
              <color auto="1"/>
            </bottom>
          </border>
        </dxf>
        <dxf>
          <fill>
            <patternFill patternType="solid">
              <bgColor theme="9" tint="0.599963377788629"/>
            </patternFill>
          </fill>
        </dxf>
        <dxf>
          <font>
            <color theme="0"/>
          </font>
          <fill>
            <patternFill patternType="solid">
              <bgColor theme="1" tint="0.349986266670736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 2">
          <x14:slicerStyleElements>
            <x14:slicerStyleElement type="unselectedItemWithData" dxfId="4"/>
            <x14:slicerStyleElement type="unselectedItemWithNoData" dxfId="3"/>
            <x14:slicerStyleElement type="selectedItemWithData" dxfId="2"/>
            <x14:slicerStyleElement type="selectedItemWithNoData" dxfId="1"/>
            <x14:slicerStyleElement type="hoveredSelectedItemWith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2"/>
  <sheetViews>
    <sheetView workbookViewId="0">
      <selection activeCell="F3" sqref="F3"/>
    </sheetView>
  </sheetViews>
  <sheetFormatPr defaultColWidth="9" defaultRowHeight="14.4" outlineLevelRow="1"/>
  <cols>
    <col min="1" max="1" width="30" customWidth="1"/>
  </cols>
  <sheetData>
    <row r="1" ht="24.6" spans="1:1">
      <c r="A1" s="23" t="s">
        <v>0</v>
      </c>
    </row>
    <row r="2" ht="15" spans="1:1">
      <c r="A2" s="24" t="s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86"/>
  <sheetViews>
    <sheetView tabSelected="1" zoomScale="85" zoomScaleNormal="85" topLeftCell="A65" workbookViewId="0">
      <selection activeCell="C93" sqref="C93"/>
    </sheetView>
  </sheetViews>
  <sheetFormatPr defaultColWidth="9" defaultRowHeight="14.4" outlineLevelCol="5"/>
  <cols>
    <col min="1" max="1" width="29.8981481481481" customWidth="1"/>
    <col min="2" max="2" width="9.7962962962963" customWidth="1"/>
    <col min="3" max="3" width="17.3981481481481" customWidth="1"/>
    <col min="4" max="4" width="24.2962962962963" customWidth="1"/>
    <col min="5" max="5" width="11.2962962962963" customWidth="1"/>
    <col min="6" max="6" width="59.2037037037037" customWidth="1"/>
    <col min="7" max="7" width="26.2037037037037" customWidth="1"/>
  </cols>
  <sheetData>
    <row r="1" ht="17.55" spans="1:6">
      <c r="A1" s="6" t="s">
        <v>2</v>
      </c>
      <c r="B1" s="7" t="s">
        <v>3</v>
      </c>
      <c r="C1" s="8" t="s">
        <v>4</v>
      </c>
      <c r="D1" s="8" t="s">
        <v>5</v>
      </c>
      <c r="E1" s="7" t="s">
        <v>6</v>
      </c>
      <c r="F1" s="6" t="s">
        <v>7</v>
      </c>
    </row>
    <row r="2" ht="15.15" spans="1:6">
      <c r="A2" s="9" t="s">
        <v>8</v>
      </c>
      <c r="B2" s="10" t="s">
        <v>9</v>
      </c>
      <c r="C2" s="10" t="s">
        <v>10</v>
      </c>
      <c r="D2" s="10" t="s">
        <v>11</v>
      </c>
      <c r="E2" s="10">
        <v>81301500168</v>
      </c>
      <c r="F2" s="11" t="str">
        <f>_xlfn.XLOOKUP(D2,Sheet1!C:C,Sheet1!E:E,0)</f>
        <v>1yNq4z9_Zf-EVsKqtNbuQ5v4W9xOfnsT3</v>
      </c>
    </row>
    <row r="3" ht="15.15" spans="1:6">
      <c r="A3" s="12" t="s">
        <v>8</v>
      </c>
      <c r="B3" s="13" t="s">
        <v>12</v>
      </c>
      <c r="C3" s="13" t="s">
        <v>10</v>
      </c>
      <c r="D3" s="14" t="s">
        <v>13</v>
      </c>
      <c r="E3" s="13">
        <v>81301500160</v>
      </c>
      <c r="F3" s="11" t="str">
        <f>_xlfn.XLOOKUP(D3,Sheet1!C:C,Sheet1!E:E,0)</f>
        <v>1UUDUiS7ANbUYhLk3me_8oDn6pMG2jfYT</v>
      </c>
    </row>
    <row r="4" ht="15.15" spans="1:6">
      <c r="A4" s="15" t="s">
        <v>8</v>
      </c>
      <c r="B4" s="14" t="s">
        <v>12</v>
      </c>
      <c r="C4" s="14" t="s">
        <v>10</v>
      </c>
      <c r="D4" s="14" t="s">
        <v>14</v>
      </c>
      <c r="E4" s="14">
        <v>81301500256</v>
      </c>
      <c r="F4" s="11" t="str">
        <f>_xlfn.XLOOKUP(D4,Sheet1!C:C,Sheet1!E:E,0)</f>
        <v>1NbIq090KFG_wrYiD-U0-e4P5TCAQYE0U</v>
      </c>
    </row>
    <row r="5" ht="15.15" spans="1:6">
      <c r="A5" s="12" t="s">
        <v>8</v>
      </c>
      <c r="B5" s="13" t="s">
        <v>12</v>
      </c>
      <c r="C5" s="13" t="s">
        <v>10</v>
      </c>
      <c r="D5" s="14" t="s">
        <v>15</v>
      </c>
      <c r="E5" s="13">
        <v>81301500257</v>
      </c>
      <c r="F5" s="11" t="str">
        <f>_xlfn.XLOOKUP(D5,Sheet1!C:C,Sheet1!E:E,0)</f>
        <v>1r8JLhcKS6rCZbfiUy66nXE8VJA6kX_F9</v>
      </c>
    </row>
    <row r="6" ht="15.15" spans="1:6">
      <c r="A6" s="15" t="s">
        <v>8</v>
      </c>
      <c r="B6" s="14" t="s">
        <v>12</v>
      </c>
      <c r="C6" s="14" t="s">
        <v>10</v>
      </c>
      <c r="D6" s="14" t="s">
        <v>16</v>
      </c>
      <c r="E6" s="14">
        <v>81301500258</v>
      </c>
      <c r="F6" s="11" t="str">
        <f>_xlfn.XLOOKUP(D6,Sheet1!C:C,Sheet1!E:E,0)</f>
        <v>1kBKgOelz0qlK5AEENq8V6xkgVn17rgte</v>
      </c>
    </row>
    <row r="7" ht="15.15" spans="1:6">
      <c r="A7" s="12" t="s">
        <v>8</v>
      </c>
      <c r="B7" s="13" t="s">
        <v>17</v>
      </c>
      <c r="C7" s="13" t="s">
        <v>10</v>
      </c>
      <c r="D7" s="14" t="s">
        <v>18</v>
      </c>
      <c r="E7" s="13">
        <v>81301500173</v>
      </c>
      <c r="F7" s="11" t="str">
        <f>_xlfn.XLOOKUP(D7,Sheet1!C:C,Sheet1!E:E,0)</f>
        <v>1geEYmQI6fINaxQkXCKeWmB_3CZB2m8bW</v>
      </c>
    </row>
    <row r="8" ht="23.55" spans="1:6">
      <c r="A8" s="15" t="s">
        <v>8</v>
      </c>
      <c r="B8" s="14" t="s">
        <v>19</v>
      </c>
      <c r="C8" s="14" t="s">
        <v>10</v>
      </c>
      <c r="D8" s="14" t="s">
        <v>20</v>
      </c>
      <c r="E8" s="14" t="s">
        <v>21</v>
      </c>
      <c r="F8" s="11" t="str">
        <f>_xlfn.XLOOKUP(D8,Sheet1!C:C,Sheet1!E:E,0)</f>
        <v>10In5XjyZlfD15fBecD3lrLwj9hkpWNXn</v>
      </c>
    </row>
    <row r="9" ht="15.15" spans="1:6">
      <c r="A9" s="12" t="s">
        <v>8</v>
      </c>
      <c r="B9" s="13" t="s">
        <v>19</v>
      </c>
      <c r="C9" s="13" t="s">
        <v>10</v>
      </c>
      <c r="D9" s="14" t="s">
        <v>22</v>
      </c>
      <c r="E9" s="13" t="s">
        <v>23</v>
      </c>
      <c r="F9" s="11" t="str">
        <f>_xlfn.XLOOKUP(D9,Sheet1!C:C,Sheet1!E:E,0)</f>
        <v>11K1f04ZLijvHhHieef3OME7LgRV2a-rB</v>
      </c>
    </row>
    <row r="10" ht="15.15" spans="1:6">
      <c r="A10" s="15" t="s">
        <v>8</v>
      </c>
      <c r="B10" s="14" t="s">
        <v>19</v>
      </c>
      <c r="C10" s="14" t="s">
        <v>10</v>
      </c>
      <c r="D10" s="14" t="s">
        <v>24</v>
      </c>
      <c r="E10" s="14" t="s">
        <v>25</v>
      </c>
      <c r="F10" s="11" t="str">
        <f>_xlfn.XLOOKUP(D10,Sheet1!C:C,Sheet1!E:E,0)</f>
        <v>100nbKdr6FIAClLOncY0C0aIM0h0AG2d9</v>
      </c>
    </row>
    <row r="11" ht="15.15" spans="1:6">
      <c r="A11" s="12" t="s">
        <v>8</v>
      </c>
      <c r="B11" s="13" t="s">
        <v>19</v>
      </c>
      <c r="C11" s="13" t="s">
        <v>10</v>
      </c>
      <c r="D11" s="14" t="s">
        <v>26</v>
      </c>
      <c r="E11" s="13" t="s">
        <v>27</v>
      </c>
      <c r="F11" s="11" t="str">
        <f>_xlfn.XLOOKUP(D11,Sheet1!C:C,Sheet1!E:E,0)</f>
        <v>172DCyPSuXJYpT4Ws7FigO5ENDNIrmTPG</v>
      </c>
    </row>
    <row r="12" ht="15.15" spans="1:6">
      <c r="A12" s="15" t="s">
        <v>8</v>
      </c>
      <c r="B12" s="14" t="s">
        <v>9</v>
      </c>
      <c r="C12" s="14" t="s">
        <v>28</v>
      </c>
      <c r="D12" s="14" t="s">
        <v>29</v>
      </c>
      <c r="E12" s="14">
        <v>81301500166</v>
      </c>
      <c r="F12" s="11" t="str">
        <f>_xlfn.XLOOKUP(D12,Sheet1!C:C,Sheet1!E:E,0)</f>
        <v>18XWF2f2vyKhemprwF-_oVq6AqoFMxsri</v>
      </c>
    </row>
    <row r="13" ht="15.15" spans="1:6">
      <c r="A13" s="12" t="s">
        <v>8</v>
      </c>
      <c r="B13" s="13" t="s">
        <v>30</v>
      </c>
      <c r="C13" s="13" t="s">
        <v>28</v>
      </c>
      <c r="D13" s="14" t="s">
        <v>31</v>
      </c>
      <c r="E13" s="13">
        <v>81301500167</v>
      </c>
      <c r="F13" s="11" t="str">
        <f>_xlfn.XLOOKUP(D13,Sheet1!C:C,Sheet1!E:E,0)</f>
        <v>1mXHFwhsW8N4APfwTeo899MHBAw8xNHSR</v>
      </c>
    </row>
    <row r="14" ht="15.15" spans="1:6">
      <c r="A14" s="15" t="s">
        <v>8</v>
      </c>
      <c r="B14" s="14" t="s">
        <v>32</v>
      </c>
      <c r="C14" s="14" t="s">
        <v>28</v>
      </c>
      <c r="D14" s="14" t="s">
        <v>33</v>
      </c>
      <c r="E14" s="14">
        <v>81301500262</v>
      </c>
      <c r="F14" s="11" t="str">
        <f>_xlfn.XLOOKUP(D14,Sheet1!C:C,Sheet1!E:E,0)</f>
        <v>1LP9R6KvNAS8nKTbS4KHMVgqnekpLUv-v</v>
      </c>
    </row>
    <row r="15" ht="15.15" spans="1:6">
      <c r="A15" s="12" t="s">
        <v>8</v>
      </c>
      <c r="B15" s="13" t="s">
        <v>32</v>
      </c>
      <c r="C15" s="13" t="s">
        <v>28</v>
      </c>
      <c r="D15" s="14" t="s">
        <v>34</v>
      </c>
      <c r="E15" s="16">
        <v>81301500165</v>
      </c>
      <c r="F15" s="11" t="str">
        <f>_xlfn.XLOOKUP(D15,Sheet1!C:C,Sheet1!E:E,0)</f>
        <v>136Dmht6m_OF3coDAYRVAB1xBq9ZWqRiO</v>
      </c>
    </row>
    <row r="16" ht="15.15" spans="1:6">
      <c r="A16" s="15" t="s">
        <v>8</v>
      </c>
      <c r="B16" s="14" t="s">
        <v>17</v>
      </c>
      <c r="C16" s="14" t="s">
        <v>28</v>
      </c>
      <c r="D16" s="14" t="s">
        <v>35</v>
      </c>
      <c r="E16" s="14">
        <v>81301500171</v>
      </c>
      <c r="F16" s="11" t="str">
        <f>_xlfn.XLOOKUP(D16,Sheet1!C:C,Sheet1!E:E,0)</f>
        <v>1LQSZp8WBfiz8GKZHyjP7E1BWAclDvbr1</v>
      </c>
    </row>
    <row r="17" ht="15.15" spans="1:6">
      <c r="A17" s="12" t="s">
        <v>8</v>
      </c>
      <c r="B17" s="13" t="s">
        <v>17</v>
      </c>
      <c r="C17" s="13" t="s">
        <v>36</v>
      </c>
      <c r="D17" s="14" t="s">
        <v>37</v>
      </c>
      <c r="E17" s="13">
        <v>81301500239</v>
      </c>
      <c r="F17" s="11" t="str">
        <f>_xlfn.XLOOKUP(D17,Sheet1!C:C,Sheet1!E:E,0)</f>
        <v>13drwIPa8sG3i1ILXjSrA0O_EVP67SN0l</v>
      </c>
    </row>
    <row r="18" ht="15.15" spans="1:6">
      <c r="A18" s="15" t="s">
        <v>8</v>
      </c>
      <c r="B18" s="14" t="s">
        <v>17</v>
      </c>
      <c r="C18" s="14" t="s">
        <v>38</v>
      </c>
      <c r="D18" s="14" t="s">
        <v>39</v>
      </c>
      <c r="E18" s="14">
        <v>81301500244</v>
      </c>
      <c r="F18" s="11" t="str">
        <f>_xlfn.XLOOKUP(D18,Sheet1!C:C,Sheet1!E:E,0)</f>
        <v>1tAi1YK8aU1n1DABUVJK1cOugzhNYQdf9</v>
      </c>
    </row>
    <row r="19" ht="15.15" spans="1:6">
      <c r="A19" s="17" t="s">
        <v>40</v>
      </c>
      <c r="B19" s="13" t="s">
        <v>17</v>
      </c>
      <c r="C19" s="13" t="s">
        <v>28</v>
      </c>
      <c r="D19" s="14" t="s">
        <v>41</v>
      </c>
      <c r="E19" s="13">
        <v>81301500261</v>
      </c>
      <c r="F19" s="11" t="str">
        <f>_xlfn.XLOOKUP(D19,Sheet1!C:C,Sheet1!E:E,0)</f>
        <v>1ULlDfXUrJykZV3D-Hcj0CExSMgAW1FoH</v>
      </c>
    </row>
    <row r="20" ht="15.15" spans="1:6">
      <c r="A20" s="18" t="s">
        <v>40</v>
      </c>
      <c r="B20" s="14" t="s">
        <v>30</v>
      </c>
      <c r="C20" s="14" t="s">
        <v>28</v>
      </c>
      <c r="D20" s="14" t="s">
        <v>42</v>
      </c>
      <c r="E20" s="14">
        <v>81301500260</v>
      </c>
      <c r="F20" s="11" t="str">
        <f>_xlfn.XLOOKUP(D20,Sheet1!C:C,Sheet1!E:E,0)</f>
        <v>1QZKVeZP4k0ea250yEbvx2tdnWi_KFcyP</v>
      </c>
    </row>
    <row r="21" ht="15.15" spans="1:6">
      <c r="A21" s="17" t="s">
        <v>40</v>
      </c>
      <c r="B21" s="13" t="s">
        <v>30</v>
      </c>
      <c r="C21" s="13" t="s">
        <v>28</v>
      </c>
      <c r="D21" s="14" t="s">
        <v>43</v>
      </c>
      <c r="E21" s="13">
        <v>81301500253</v>
      </c>
      <c r="F21" s="11" t="str">
        <f>_xlfn.XLOOKUP(D21,Sheet1!C:C,Sheet1!E:E,0)</f>
        <v>18igEpbLm_ONenrCMJadgAzpFPZbGhoUe</v>
      </c>
    </row>
    <row r="22" ht="23.55" spans="1:6">
      <c r="A22" s="18" t="s">
        <v>40</v>
      </c>
      <c r="B22" s="14" t="s">
        <v>32</v>
      </c>
      <c r="C22" s="14" t="s">
        <v>28</v>
      </c>
      <c r="D22" s="14" t="s">
        <v>44</v>
      </c>
      <c r="E22" s="14" t="s">
        <v>45</v>
      </c>
      <c r="F22" s="11" t="str">
        <f>_xlfn.XLOOKUP(D22,Sheet1!C:C,Sheet1!E:E,0)</f>
        <v>1jAeuS5W1OL07JMYI6w25ehOqjlWCk226</v>
      </c>
    </row>
    <row r="23" ht="23.55" spans="1:6">
      <c r="A23" s="17" t="s">
        <v>40</v>
      </c>
      <c r="B23" s="13" t="s">
        <v>17</v>
      </c>
      <c r="C23" s="13" t="s">
        <v>46</v>
      </c>
      <c r="D23" s="14" t="s">
        <v>47</v>
      </c>
      <c r="E23" s="13" t="s">
        <v>48</v>
      </c>
      <c r="F23" s="11" t="str">
        <f>_xlfn.XLOOKUP(D23,Sheet1!C:C,Sheet1!E:E,0)</f>
        <v>1Tku1Syx86WBxUmLAVBPV1xPWbWQG8rsv</v>
      </c>
    </row>
    <row r="24" ht="23.55" spans="1:6">
      <c r="A24" s="18" t="s">
        <v>40</v>
      </c>
      <c r="B24" s="14" t="s">
        <v>17</v>
      </c>
      <c r="C24" s="14" t="s">
        <v>46</v>
      </c>
      <c r="D24" s="14" t="s">
        <v>49</v>
      </c>
      <c r="E24" s="14" t="s">
        <v>50</v>
      </c>
      <c r="F24" s="11">
        <f>_xlfn.XLOOKUP(D24,Sheet1!C:C,Sheet1!E:E,0)</f>
        <v>0</v>
      </c>
    </row>
    <row r="25" ht="15.15" spans="1:6">
      <c r="A25" s="12" t="s">
        <v>51</v>
      </c>
      <c r="B25" s="13" t="s">
        <v>52</v>
      </c>
      <c r="C25" s="13" t="s">
        <v>10</v>
      </c>
      <c r="D25" s="14" t="s">
        <v>53</v>
      </c>
      <c r="E25" s="13">
        <v>81301500176</v>
      </c>
      <c r="F25" s="11" t="str">
        <f>_xlfn.XLOOKUP(D25,Sheet1!C:C,Sheet1!E:E,0)</f>
        <v>1-IeVCm7MaL17VBfeMXbmz-jABWUCj8qu</v>
      </c>
    </row>
    <row r="26" ht="15.15" spans="1:6">
      <c r="A26" s="15" t="s">
        <v>51</v>
      </c>
      <c r="B26" s="14" t="s">
        <v>52</v>
      </c>
      <c r="C26" s="14" t="s">
        <v>10</v>
      </c>
      <c r="D26" s="14" t="s">
        <v>54</v>
      </c>
      <c r="E26" s="14">
        <v>81301500232</v>
      </c>
      <c r="F26" s="11" t="str">
        <f>_xlfn.XLOOKUP(D26,Sheet1!C:C,Sheet1!E:E,0)</f>
        <v>1hm_iIRFcO_CmXTF15AmwqXIwVAkQE4n2</v>
      </c>
    </row>
    <row r="27" ht="15.15" spans="1:6">
      <c r="A27" s="12" t="s">
        <v>51</v>
      </c>
      <c r="B27" s="13" t="s">
        <v>52</v>
      </c>
      <c r="C27" s="13" t="s">
        <v>55</v>
      </c>
      <c r="D27" s="14" t="s">
        <v>56</v>
      </c>
      <c r="E27" s="13">
        <v>81301500188</v>
      </c>
      <c r="F27" s="11" t="str">
        <f>_xlfn.XLOOKUP(D27,Sheet1!C:C,Sheet1!E:E,0)</f>
        <v>1pP2-MjeVOrGTnnRyQwaa49kvZqkAd9Ym</v>
      </c>
    </row>
    <row r="28" ht="15.15" spans="1:6">
      <c r="A28" s="15" t="s">
        <v>51</v>
      </c>
      <c r="B28" s="14" t="s">
        <v>52</v>
      </c>
      <c r="C28" s="14" t="s">
        <v>57</v>
      </c>
      <c r="D28" s="14" t="s">
        <v>58</v>
      </c>
      <c r="E28" s="14">
        <v>81301500192</v>
      </c>
      <c r="F28" s="11" t="str">
        <f>_xlfn.XLOOKUP(D28,Sheet1!C:C,Sheet1!E:E,0)</f>
        <v>1TrCr793kbOCo5707Pxb0TYkYrBuWIGo3</v>
      </c>
    </row>
    <row r="29" ht="15.15" spans="1:6">
      <c r="A29" s="17" t="s">
        <v>59</v>
      </c>
      <c r="B29" s="13" t="s">
        <v>52</v>
      </c>
      <c r="C29" s="13" t="s">
        <v>10</v>
      </c>
      <c r="D29" s="14" t="s">
        <v>60</v>
      </c>
      <c r="E29" s="13">
        <v>81301500230</v>
      </c>
      <c r="F29" s="11" t="str">
        <f>_xlfn.XLOOKUP(D29,Sheet1!C:C,Sheet1!E:E,0)</f>
        <v>1ICZpRmz1GqD-c6fmdk_co7a9KyhWU14J</v>
      </c>
    </row>
    <row r="30" ht="15.15" spans="1:6">
      <c r="A30" s="18" t="s">
        <v>59</v>
      </c>
      <c r="B30" s="14" t="s">
        <v>52</v>
      </c>
      <c r="C30" s="14" t="s">
        <v>55</v>
      </c>
      <c r="D30" s="14" t="s">
        <v>61</v>
      </c>
      <c r="E30" s="14">
        <v>81301500199</v>
      </c>
      <c r="F30" s="11" t="str">
        <f>_xlfn.XLOOKUP(D30,Sheet1!C:C,Sheet1!E:E,0)</f>
        <v>1JGmR7t3sswrHFnt4SrQ422zPR7LPfMJa</v>
      </c>
    </row>
    <row r="31" ht="15.15" spans="1:6">
      <c r="A31" s="17" t="s">
        <v>59</v>
      </c>
      <c r="B31" s="13" t="s">
        <v>52</v>
      </c>
      <c r="C31" s="13" t="s">
        <v>57</v>
      </c>
      <c r="D31" s="14" t="s">
        <v>62</v>
      </c>
      <c r="E31" s="13">
        <v>81301500190</v>
      </c>
      <c r="F31" s="11" t="str">
        <f>_xlfn.XLOOKUP(D31,Sheet1!C:C,Sheet1!E:E,0)</f>
        <v>1KCFLQphtGjUX8GKXdkbn8XZvSWYm-DXv</v>
      </c>
    </row>
    <row r="32" ht="15.15" spans="1:6">
      <c r="A32" s="18" t="s">
        <v>59</v>
      </c>
      <c r="B32" s="14" t="s">
        <v>52</v>
      </c>
      <c r="C32" s="14" t="s">
        <v>63</v>
      </c>
      <c r="D32" s="14" t="s">
        <v>64</v>
      </c>
      <c r="E32" s="14">
        <v>81301500235</v>
      </c>
      <c r="F32" s="11" t="str">
        <f>_xlfn.XLOOKUP(D32,Sheet1!C:C,Sheet1!E:E,0)</f>
        <v>19p4ljUq-N0pc4ZfrZXFdiW257gu5hm7m</v>
      </c>
    </row>
    <row r="33" ht="15.15" spans="1:6">
      <c r="A33" s="17" t="s">
        <v>59</v>
      </c>
      <c r="B33" s="13" t="s">
        <v>52</v>
      </c>
      <c r="C33" s="13" t="s">
        <v>63</v>
      </c>
      <c r="D33" s="14" t="s">
        <v>65</v>
      </c>
      <c r="E33" s="13">
        <v>81301500225</v>
      </c>
      <c r="F33" s="11" t="str">
        <f>_xlfn.XLOOKUP(D33,Sheet1!C:C,Sheet1!E:E,0)</f>
        <v>1ZUXB96PY2hQLi5ZYqUJ2FnJqQNNqI6Fb</v>
      </c>
    </row>
    <row r="34" ht="15.15" spans="1:6">
      <c r="A34" s="15" t="s">
        <v>66</v>
      </c>
      <c r="B34" s="14" t="s">
        <v>52</v>
      </c>
      <c r="C34" s="14" t="s">
        <v>10</v>
      </c>
      <c r="D34" s="14" t="s">
        <v>67</v>
      </c>
      <c r="E34" s="14">
        <v>81301500178</v>
      </c>
      <c r="F34" s="11" t="str">
        <f>_xlfn.XLOOKUP(D34,Sheet1!C:C,Sheet1!E:E,0)</f>
        <v>1tTwkdj3qDclHwIvRp1XC5KZkRQCracI_</v>
      </c>
    </row>
    <row r="35" ht="15.15" spans="1:6">
      <c r="A35" s="12" t="s">
        <v>66</v>
      </c>
      <c r="B35" s="13" t="s">
        <v>52</v>
      </c>
      <c r="C35" s="13" t="s">
        <v>28</v>
      </c>
      <c r="D35" s="14" t="s">
        <v>68</v>
      </c>
      <c r="E35" s="13">
        <v>81301500215</v>
      </c>
      <c r="F35" s="11" t="str">
        <f>_xlfn.XLOOKUP(D35,Sheet1!C:C,Sheet1!E:E,0)</f>
        <v>1ibM_LgVADpHWjnzmO7fzMPoARNBZ7BJS</v>
      </c>
    </row>
    <row r="36" ht="15.15" spans="1:6">
      <c r="A36" s="15" t="s">
        <v>66</v>
      </c>
      <c r="B36" s="14" t="s">
        <v>52</v>
      </c>
      <c r="C36" s="14" t="s">
        <v>55</v>
      </c>
      <c r="D36" s="14" t="s">
        <v>69</v>
      </c>
      <c r="E36" s="14">
        <v>81301500177</v>
      </c>
      <c r="F36" s="11" t="str">
        <f>_xlfn.XLOOKUP(D36,Sheet1!C:C,Sheet1!E:E,0)</f>
        <v>1HmjIT1rcuDkYsRYeMqx51qCKnFsJOKe-</v>
      </c>
    </row>
    <row r="37" ht="15.15" spans="1:6">
      <c r="A37" s="12" t="s">
        <v>66</v>
      </c>
      <c r="B37" s="13" t="s">
        <v>52</v>
      </c>
      <c r="C37" s="13" t="s">
        <v>57</v>
      </c>
      <c r="D37" s="14" t="s">
        <v>70</v>
      </c>
      <c r="E37" s="13">
        <v>81301500233</v>
      </c>
      <c r="F37" s="11" t="str">
        <f>_xlfn.XLOOKUP(D37,Sheet1!C:C,Sheet1!E:E,0)</f>
        <v>15h-MPpmVXEnJYnqkqoR_eFYFgZ33zf_j</v>
      </c>
    </row>
    <row r="38" ht="15.15" spans="1:6">
      <c r="A38" s="15" t="s">
        <v>66</v>
      </c>
      <c r="B38" s="14" t="s">
        <v>52</v>
      </c>
      <c r="C38" s="14" t="s">
        <v>71</v>
      </c>
      <c r="D38" s="14" t="s">
        <v>72</v>
      </c>
      <c r="E38" s="14">
        <v>81301500236</v>
      </c>
      <c r="F38" s="11" t="str">
        <f>_xlfn.XLOOKUP(D38,Sheet1!C:C,Sheet1!E:E,0)</f>
        <v>1fgjfoJghOl51nQacxox1dTYdpNo_Typh</v>
      </c>
    </row>
    <row r="39" ht="23.55" spans="1:6">
      <c r="A39" s="12" t="s">
        <v>66</v>
      </c>
      <c r="B39" s="13" t="s">
        <v>52</v>
      </c>
      <c r="C39" s="13" t="s">
        <v>73</v>
      </c>
      <c r="D39" s="14" t="s">
        <v>74</v>
      </c>
      <c r="E39" s="13">
        <v>81301500231</v>
      </c>
      <c r="F39" s="11" t="str">
        <f>_xlfn.XLOOKUP(D39,Sheet1!C:C,Sheet1!E:E,0)</f>
        <v>1H_DunUA-m0ENGxK8WLnlRNEjZNLz3u9-</v>
      </c>
    </row>
    <row r="40" ht="15.15" spans="1:6">
      <c r="A40" s="15" t="s">
        <v>66</v>
      </c>
      <c r="B40" s="14" t="s">
        <v>52</v>
      </c>
      <c r="C40" s="14" t="s">
        <v>71</v>
      </c>
      <c r="D40" s="14" t="s">
        <v>75</v>
      </c>
      <c r="E40" s="14">
        <v>0</v>
      </c>
      <c r="F40" s="11" t="str">
        <f>_xlfn.XLOOKUP(D40,Sheet1!C:C,Sheet1!E:E,0)</f>
        <v>18710iEOgil3FIfzFvPQIWnHnAFG_qsGU</v>
      </c>
    </row>
    <row r="41" ht="23.55" spans="1:6">
      <c r="A41" s="12" t="s">
        <v>66</v>
      </c>
      <c r="B41" s="13" t="s">
        <v>52</v>
      </c>
      <c r="C41" s="13" t="s">
        <v>73</v>
      </c>
      <c r="D41" s="14" t="s">
        <v>76</v>
      </c>
      <c r="E41" s="13">
        <v>0</v>
      </c>
      <c r="F41" s="11" t="str">
        <f>_xlfn.XLOOKUP(D41,Sheet1!C:C,Sheet1!E:E,0)</f>
        <v>1SSFbs4_ulLM1_q7oAYhvUfHuco5cRkDd</v>
      </c>
    </row>
    <row r="42" ht="15.15" spans="1:6">
      <c r="A42" s="15" t="s">
        <v>66</v>
      </c>
      <c r="B42" s="14" t="s">
        <v>52</v>
      </c>
      <c r="C42" s="14" t="s">
        <v>63</v>
      </c>
      <c r="D42" s="14" t="s">
        <v>77</v>
      </c>
      <c r="E42" s="14">
        <v>81301500227</v>
      </c>
      <c r="F42" s="11" t="str">
        <f>_xlfn.XLOOKUP(D42,Sheet1!C:C,Sheet1!E:E,0)</f>
        <v>1wJOAvT3n-jqpkqSsKceDF4raldMf4P4f</v>
      </c>
    </row>
    <row r="43" ht="15.15" spans="1:6">
      <c r="A43" s="12" t="s">
        <v>66</v>
      </c>
      <c r="B43" s="13" t="s">
        <v>52</v>
      </c>
      <c r="C43" s="13" t="s">
        <v>63</v>
      </c>
      <c r="D43" s="14" t="s">
        <v>78</v>
      </c>
      <c r="E43" s="13">
        <v>81301500226</v>
      </c>
      <c r="F43" s="11" t="str">
        <f>_xlfn.XLOOKUP(D43,Sheet1!C:C,Sheet1!E:E,0)</f>
        <v>1-dymiGJvQVPzjU0UtoDy_KkiufTqC0Z7</v>
      </c>
    </row>
    <row r="44" ht="15.15" spans="1:6">
      <c r="A44" s="15" t="s">
        <v>79</v>
      </c>
      <c r="B44" s="14" t="s">
        <v>52</v>
      </c>
      <c r="C44" s="14" t="s">
        <v>28</v>
      </c>
      <c r="D44" s="14" t="s">
        <v>80</v>
      </c>
      <c r="E44" s="14">
        <v>81301500229</v>
      </c>
      <c r="F44" s="11" t="str">
        <f>_xlfn.XLOOKUP(D44,Sheet1!C:C,Sheet1!E:E,0)</f>
        <v>1ztjmLgFTRjQPj9dJknwyWGuIU8M6dlSM</v>
      </c>
    </row>
    <row r="45" ht="15.15" spans="1:6">
      <c r="A45" s="12" t="s">
        <v>79</v>
      </c>
      <c r="B45" s="13" t="s">
        <v>52</v>
      </c>
      <c r="C45" s="13" t="s">
        <v>28</v>
      </c>
      <c r="D45" s="14" t="s">
        <v>81</v>
      </c>
      <c r="E45" s="13">
        <v>81301500254</v>
      </c>
      <c r="F45" s="11" t="str">
        <f>_xlfn.XLOOKUP(D45,Sheet1!C:C,Sheet1!E:E,0)</f>
        <v>1dXmQvqHc7Bejnl3JNBMf0ez8bQsa2kbL</v>
      </c>
    </row>
    <row r="46" ht="15.15" spans="1:6">
      <c r="A46" s="15" t="s">
        <v>79</v>
      </c>
      <c r="B46" s="14" t="s">
        <v>52</v>
      </c>
      <c r="C46" s="14" t="s">
        <v>82</v>
      </c>
      <c r="D46" s="14" t="s">
        <v>83</v>
      </c>
      <c r="E46" s="14">
        <v>81301500251</v>
      </c>
      <c r="F46" s="11" t="str">
        <f>_xlfn.XLOOKUP(D46,Sheet1!C:C,Sheet1!E:E,0)</f>
        <v>1INdXKWDsDH1p9AewSJ3DABzws93eniqE</v>
      </c>
    </row>
    <row r="47" ht="15.15" spans="1:6">
      <c r="A47" s="12" t="s">
        <v>79</v>
      </c>
      <c r="B47" s="13" t="s">
        <v>52</v>
      </c>
      <c r="C47" s="13" t="s">
        <v>84</v>
      </c>
      <c r="D47" s="14" t="s">
        <v>85</v>
      </c>
      <c r="E47" s="13">
        <v>81301500186</v>
      </c>
      <c r="F47" s="11" t="str">
        <f>_xlfn.XLOOKUP(D47,Sheet1!C:C,Sheet1!E:E,0)</f>
        <v>1gnEgGECb0R7WznIzNeqI6dN0ESnjQnYr</v>
      </c>
    </row>
    <row r="48" ht="23.55" spans="1:6">
      <c r="A48" s="15" t="s">
        <v>79</v>
      </c>
      <c r="B48" s="14" t="s">
        <v>52</v>
      </c>
      <c r="C48" s="14" t="s">
        <v>86</v>
      </c>
      <c r="D48" s="14" t="s">
        <v>87</v>
      </c>
      <c r="E48" s="14">
        <v>81301500189</v>
      </c>
      <c r="F48" s="11" t="str">
        <f>_xlfn.XLOOKUP(D48,Sheet1!C:C,Sheet1!E:E,0)</f>
        <v>15TiS1yPxSZNFqaIWMgae5BCviDG7Llee</v>
      </c>
    </row>
    <row r="49" ht="15.15" spans="1:6">
      <c r="A49" s="12" t="s">
        <v>79</v>
      </c>
      <c r="B49" s="13" t="s">
        <v>52</v>
      </c>
      <c r="C49" s="13" t="s">
        <v>63</v>
      </c>
      <c r="D49" s="14" t="s">
        <v>88</v>
      </c>
      <c r="E49" s="13">
        <v>81301500224</v>
      </c>
      <c r="F49" s="11" t="str">
        <f>_xlfn.XLOOKUP(D49,Sheet1!C:C,Sheet1!E:E,0)</f>
        <v>1EENm8MMHM8_HrQnHSgmqWZV6cGYV0Zag</v>
      </c>
    </row>
    <row r="50" ht="15.15" spans="1:6">
      <c r="A50" s="15" t="s">
        <v>79</v>
      </c>
      <c r="B50" s="14" t="s">
        <v>52</v>
      </c>
      <c r="C50" s="14" t="s">
        <v>63</v>
      </c>
      <c r="D50" s="14" t="s">
        <v>89</v>
      </c>
      <c r="E50" s="14">
        <v>81301500222</v>
      </c>
      <c r="F50" s="11" t="str">
        <f>_xlfn.XLOOKUP(D50,Sheet1!C:C,Sheet1!E:E,0)</f>
        <v>1ZddKLBbBh7UmDWt2dYKO3Zo34EfjfkjA</v>
      </c>
    </row>
    <row r="51" ht="15.15" spans="1:6">
      <c r="A51" s="12" t="s">
        <v>79</v>
      </c>
      <c r="B51" s="13" t="s">
        <v>52</v>
      </c>
      <c r="C51" s="13" t="s">
        <v>63</v>
      </c>
      <c r="D51" s="14" t="s">
        <v>90</v>
      </c>
      <c r="E51" s="13">
        <v>81301500223</v>
      </c>
      <c r="F51" s="11" t="str">
        <f>_xlfn.XLOOKUP(D51,Sheet1!C:C,Sheet1!E:E,0)</f>
        <v>1GYbRiMWmgrqDBBPZhZFqbKEWUrfotqE0</v>
      </c>
    </row>
    <row r="52" ht="15.15" spans="1:6">
      <c r="A52" s="15" t="s">
        <v>79</v>
      </c>
      <c r="B52" s="14" t="s">
        <v>52</v>
      </c>
      <c r="C52" s="14" t="s">
        <v>63</v>
      </c>
      <c r="D52" s="14" t="s">
        <v>91</v>
      </c>
      <c r="E52" s="14">
        <v>81301500221</v>
      </c>
      <c r="F52" s="11" t="str">
        <f>_xlfn.XLOOKUP(D52,Sheet1!C:C,Sheet1!E:E,0)</f>
        <v>18gXq9bgZWc1dqlz3g07XExene2eEw5ZN</v>
      </c>
    </row>
    <row r="53" ht="15.15" spans="1:6">
      <c r="A53" s="12" t="s">
        <v>92</v>
      </c>
      <c r="B53" s="13" t="s">
        <v>52</v>
      </c>
      <c r="C53" s="13" t="s">
        <v>93</v>
      </c>
      <c r="D53" s="14" t="s">
        <v>94</v>
      </c>
      <c r="E53" s="13">
        <v>81301500198</v>
      </c>
      <c r="F53" s="11" t="str">
        <f>_xlfn.XLOOKUP(D53,Sheet1!C:C,Sheet1!E:E,0)</f>
        <v>17uc7FGzU812YWKBrzR-k38yQi89V8ey9</v>
      </c>
    </row>
    <row r="54" ht="15.15" spans="1:6">
      <c r="A54" s="15" t="s">
        <v>95</v>
      </c>
      <c r="B54" s="14" t="s">
        <v>52</v>
      </c>
      <c r="C54" s="14" t="s">
        <v>96</v>
      </c>
      <c r="D54" s="14" t="s">
        <v>97</v>
      </c>
      <c r="E54" s="14">
        <v>81301500197</v>
      </c>
      <c r="F54" s="11" t="str">
        <f>_xlfn.XLOOKUP(D54,Sheet1!C:C,Sheet1!E:E,0)</f>
        <v>1quLPmVfCMFXIygBXsuspxJqTDngm83IJ</v>
      </c>
    </row>
    <row r="55" ht="15.15" spans="1:6">
      <c r="A55" s="12" t="s">
        <v>98</v>
      </c>
      <c r="B55" s="13" t="s">
        <v>52</v>
      </c>
      <c r="C55" s="13" t="s">
        <v>99</v>
      </c>
      <c r="D55" s="14" t="s">
        <v>100</v>
      </c>
      <c r="E55" s="13">
        <v>81301500195</v>
      </c>
      <c r="F55" s="11" t="str">
        <f>_xlfn.XLOOKUP(D55,Sheet1!C:C,Sheet1!E:E,0)</f>
        <v>1XT-1ie2Bro5G2fCnBTmlizTIadux7T5E</v>
      </c>
    </row>
    <row r="56" ht="15.15" spans="1:6">
      <c r="A56" s="15" t="s">
        <v>95</v>
      </c>
      <c r="B56" s="14" t="s">
        <v>52</v>
      </c>
      <c r="C56" s="14" t="s">
        <v>96</v>
      </c>
      <c r="D56" s="14" t="s">
        <v>101</v>
      </c>
      <c r="E56" s="14">
        <v>81301500247</v>
      </c>
      <c r="F56" s="11" t="str">
        <f>_xlfn.XLOOKUP(D56,Sheet1!C:C,Sheet1!E:E,0)</f>
        <v>1ngdzMz6BcW1MMXfynPFkyChxdYwAHDiY</v>
      </c>
    </row>
    <row r="57" ht="15.15" spans="1:6">
      <c r="A57" s="12" t="s">
        <v>98</v>
      </c>
      <c r="B57" s="13" t="s">
        <v>52</v>
      </c>
      <c r="C57" s="13" t="s">
        <v>99</v>
      </c>
      <c r="D57" s="14" t="s">
        <v>102</v>
      </c>
      <c r="E57" s="13">
        <v>81301500252</v>
      </c>
      <c r="F57" s="11" t="str">
        <f>_xlfn.XLOOKUP(D57,Sheet1!C:C,Sheet1!E:E,0)</f>
        <v>19NbUX1wltKs0Jpt2movM_drNmzrY1rDP</v>
      </c>
    </row>
    <row r="58" ht="15.15" spans="1:6">
      <c r="A58" s="15" t="s">
        <v>103</v>
      </c>
      <c r="B58" s="14" t="s">
        <v>52</v>
      </c>
      <c r="C58" s="14" t="s">
        <v>104</v>
      </c>
      <c r="D58" s="14" t="s">
        <v>105</v>
      </c>
      <c r="E58" s="14">
        <v>81301500264</v>
      </c>
      <c r="F58" s="11" t="str">
        <f>_xlfn.XLOOKUP(D58,Sheet1!C:C,Sheet1!E:E,0)</f>
        <v>1Kwk1dKRCP2jtnuvbJUoA6NZHhlbgENl4</v>
      </c>
    </row>
    <row r="59" ht="15.15" spans="1:6">
      <c r="A59" s="12" t="s">
        <v>103</v>
      </c>
      <c r="B59" s="13" t="s">
        <v>52</v>
      </c>
      <c r="C59" s="13" t="s">
        <v>104</v>
      </c>
      <c r="D59" s="14" t="s">
        <v>106</v>
      </c>
      <c r="E59" s="13">
        <v>81301500259</v>
      </c>
      <c r="F59" s="11" t="str">
        <f>_xlfn.XLOOKUP(D59,Sheet1!C:C,Sheet1!E:E,0)</f>
        <v>1jSVyi5frJ849dqPCnPn-DU0a_YOKQqdM</v>
      </c>
    </row>
    <row r="60" ht="15.15" spans="1:6">
      <c r="A60" s="15" t="s">
        <v>107</v>
      </c>
      <c r="B60" s="14" t="s">
        <v>52</v>
      </c>
      <c r="C60" s="14" t="s">
        <v>108</v>
      </c>
      <c r="D60" s="14" t="s">
        <v>109</v>
      </c>
      <c r="E60" s="14">
        <v>81301500249</v>
      </c>
      <c r="F60" s="11" t="str">
        <f>_xlfn.XLOOKUP(D60,Sheet1!C:C,Sheet1!E:E,0)</f>
        <v>1iRnik834C4zCUZ6-_vXUHrfCbkLxzVcj</v>
      </c>
    </row>
    <row r="61" ht="15.15" spans="1:6">
      <c r="A61" s="12" t="s">
        <v>107</v>
      </c>
      <c r="B61" s="13" t="s">
        <v>52</v>
      </c>
      <c r="C61" s="13" t="s">
        <v>108</v>
      </c>
      <c r="D61" s="14" t="s">
        <v>110</v>
      </c>
      <c r="E61" s="13">
        <v>81301500248</v>
      </c>
      <c r="F61" s="11" t="str">
        <f>_xlfn.XLOOKUP(D61,Sheet1!C:C,Sheet1!E:E,0)</f>
        <v>1JN2mg2hgea-FZrA8nqb6BeaVpHqD2AyV</v>
      </c>
    </row>
    <row r="62" ht="15.15" spans="1:6">
      <c r="A62" s="15" t="s">
        <v>98</v>
      </c>
      <c r="B62" s="14" t="s">
        <v>52</v>
      </c>
      <c r="C62" s="14" t="s">
        <v>63</v>
      </c>
      <c r="D62" s="14" t="s">
        <v>111</v>
      </c>
      <c r="E62" s="14">
        <v>81301500228</v>
      </c>
      <c r="F62" s="11" t="str">
        <f>_xlfn.XLOOKUP(D62,Sheet1!C:C,Sheet1!E:E,0)</f>
        <v>1DULIu2hcmxgI0U5eZlR9jevf8jcHNt2r</v>
      </c>
    </row>
    <row r="63" ht="15.15" spans="1:6">
      <c r="A63" s="12" t="s">
        <v>98</v>
      </c>
      <c r="B63" s="13" t="s">
        <v>52</v>
      </c>
      <c r="C63" s="13" t="s">
        <v>63</v>
      </c>
      <c r="D63" s="14" t="s">
        <v>112</v>
      </c>
      <c r="E63" s="13">
        <v>81301500234</v>
      </c>
      <c r="F63" s="11" t="str">
        <f>_xlfn.XLOOKUP(D63,Sheet1!C:C,Sheet1!E:E,0)</f>
        <v>12XL8ptjhhgu1JPETPKiNCUAGEMAwvN2o</v>
      </c>
    </row>
    <row r="64" ht="15.15" spans="1:6">
      <c r="A64" s="18" t="s">
        <v>40</v>
      </c>
      <c r="B64" s="14" t="s">
        <v>32</v>
      </c>
      <c r="C64" s="14" t="s">
        <v>28</v>
      </c>
      <c r="D64" s="14" t="s">
        <v>113</v>
      </c>
      <c r="E64" s="16">
        <v>81301500243</v>
      </c>
      <c r="F64" s="11" t="str">
        <f>_xlfn.XLOOKUP(D64,Sheet1!C:C,Sheet1!E:E,0)</f>
        <v>17u5UvsqDH7wlvCy00e-ivejIGMsTDddN</v>
      </c>
    </row>
    <row r="65" ht="15.15" spans="1:6">
      <c r="A65" s="12" t="s">
        <v>8</v>
      </c>
      <c r="B65" s="13" t="s">
        <v>32</v>
      </c>
      <c r="C65" s="13" t="s">
        <v>10</v>
      </c>
      <c r="D65" s="14" t="s">
        <v>114</v>
      </c>
      <c r="E65" s="16">
        <v>81301500164</v>
      </c>
      <c r="F65" s="11" t="str">
        <f>_xlfn.XLOOKUP(D65,Sheet1!C:C,Sheet1!E:E,0)</f>
        <v>1Hj6pWsxGwsxqfWiYylNT3PmTl0aQxAu2</v>
      </c>
    </row>
    <row r="66" ht="15.15" spans="1:6">
      <c r="A66" s="15" t="s">
        <v>8</v>
      </c>
      <c r="B66" s="14" t="s">
        <v>32</v>
      </c>
      <c r="C66" s="14" t="s">
        <v>10</v>
      </c>
      <c r="D66" s="14" t="s">
        <v>115</v>
      </c>
      <c r="E66" s="14" t="s">
        <v>116</v>
      </c>
      <c r="F66" s="11" t="str">
        <f>_xlfn.XLOOKUP(D66,Sheet1!C:C,Sheet1!E:E,0)</f>
        <v>1xXgFAPkNMxnCaOTLT__xt1neCiSgbsKd</v>
      </c>
    </row>
    <row r="67" ht="23.55" spans="1:6">
      <c r="A67" s="17" t="s">
        <v>40</v>
      </c>
      <c r="B67" s="13" t="s">
        <v>9</v>
      </c>
      <c r="C67" s="13" t="s">
        <v>28</v>
      </c>
      <c r="D67" s="14" t="s">
        <v>117</v>
      </c>
      <c r="E67" s="13" t="s">
        <v>118</v>
      </c>
      <c r="F67" s="11" t="str">
        <f>_xlfn.XLOOKUP(D67,Sheet1!C:C,Sheet1!E:E,0)</f>
        <v>13WGzWcME9yEWNRgXBRcux33g3BNq4_Vv</v>
      </c>
    </row>
    <row r="68" ht="15.15" spans="1:6">
      <c r="A68" s="18" t="s">
        <v>40</v>
      </c>
      <c r="B68" s="14" t="s">
        <v>9</v>
      </c>
      <c r="C68" s="14" t="s">
        <v>28</v>
      </c>
      <c r="D68" s="14" t="s">
        <v>119</v>
      </c>
      <c r="E68" s="16">
        <v>81301500242</v>
      </c>
      <c r="F68" s="11" t="str">
        <f>_xlfn.XLOOKUP(D68,Sheet1!C:C,Sheet1!E:E,0)</f>
        <v>1AK-Fqgfcm7fHfAk1ikZ2ZpBhO9eG-rSD</v>
      </c>
    </row>
    <row r="69" ht="15.15" spans="1:6">
      <c r="A69" s="12" t="s">
        <v>8</v>
      </c>
      <c r="B69" s="13" t="s">
        <v>120</v>
      </c>
      <c r="C69" s="13" t="s">
        <v>36</v>
      </c>
      <c r="D69" s="14" t="s">
        <v>121</v>
      </c>
      <c r="E69" s="13">
        <v>81301500245</v>
      </c>
      <c r="F69" s="11" t="str">
        <f>_xlfn.XLOOKUP(D69,Sheet1!C:C,Sheet1!E:E,0)</f>
        <v>1bi3vbRiTYhBtAcBnaH8JcyBMQvHLftq-</v>
      </c>
    </row>
    <row r="70" ht="15.15" spans="1:6">
      <c r="A70" s="15" t="s">
        <v>8</v>
      </c>
      <c r="B70" s="14" t="s">
        <v>120</v>
      </c>
      <c r="C70" s="14" t="s">
        <v>36</v>
      </c>
      <c r="D70" s="14" t="s">
        <v>122</v>
      </c>
      <c r="E70" s="14">
        <v>81301500250</v>
      </c>
      <c r="F70" s="11" t="str">
        <f>_xlfn.XLOOKUP(D70,Sheet1!C:C,Sheet1!E:E,0)</f>
        <v>16IEbenyjp10vcTqVir_xX3UnIC_lQQkq</v>
      </c>
    </row>
    <row r="71" ht="23.55" spans="1:6">
      <c r="A71" s="12" t="s">
        <v>8</v>
      </c>
      <c r="B71" s="13" t="s">
        <v>120</v>
      </c>
      <c r="C71" s="13" t="s">
        <v>36</v>
      </c>
      <c r="D71" s="14" t="s">
        <v>123</v>
      </c>
      <c r="E71" s="13" t="s">
        <v>124</v>
      </c>
      <c r="F71" s="11">
        <f>_xlfn.XLOOKUP(D71,Sheet1!C:C,Sheet1!E:E,0)</f>
        <v>0</v>
      </c>
    </row>
    <row r="72" ht="15.15" spans="1:6">
      <c r="A72" s="15" t="s">
        <v>8</v>
      </c>
      <c r="B72" s="19" t="s">
        <v>125</v>
      </c>
      <c r="C72" s="19" t="s">
        <v>82</v>
      </c>
      <c r="D72" s="14" t="s">
        <v>126</v>
      </c>
      <c r="E72" s="20">
        <v>123456789</v>
      </c>
      <c r="F72" s="11" t="str">
        <f>_xlfn.XLOOKUP(D72,Sheet1!C:C,Sheet1!E:E,0)</f>
        <v>1E3iM_fQdEkK-F5j8NdfkVghGY0hr7pCQ</v>
      </c>
    </row>
    <row r="73" ht="15.15" spans="1:6">
      <c r="A73" s="12" t="s">
        <v>8</v>
      </c>
      <c r="B73" s="13" t="s">
        <v>17</v>
      </c>
      <c r="C73" s="13" t="s">
        <v>10</v>
      </c>
      <c r="D73" s="14" t="s">
        <v>127</v>
      </c>
      <c r="E73" s="13">
        <v>81301500255</v>
      </c>
      <c r="F73" s="11" t="str">
        <f>_xlfn.XLOOKUP(D73,Sheet1!C:C,Sheet1!E:E,0)</f>
        <v>11bpfI4rfF9_ccIsYiRFVHfkL4wvcZUPf</v>
      </c>
    </row>
    <row r="74" ht="15.15" spans="1:6">
      <c r="A74" s="15" t="s">
        <v>8</v>
      </c>
      <c r="B74" s="14" t="s">
        <v>17</v>
      </c>
      <c r="C74" s="14" t="s">
        <v>28</v>
      </c>
      <c r="D74" s="14" t="s">
        <v>128</v>
      </c>
      <c r="E74" s="14">
        <v>81301500266</v>
      </c>
      <c r="F74" s="11" t="str">
        <f>_xlfn.XLOOKUP(D74,Sheet1!C:C,Sheet1!E:E,0)</f>
        <v>17X41Eeu8QM69lPLvgcYIGt4LEhBRjfh8</v>
      </c>
    </row>
    <row r="75" ht="15.15" spans="1:6">
      <c r="A75" s="17" t="s">
        <v>40</v>
      </c>
      <c r="B75" s="13" t="s">
        <v>17</v>
      </c>
      <c r="C75" s="13" t="s">
        <v>28</v>
      </c>
      <c r="D75" s="14" t="s">
        <v>129</v>
      </c>
      <c r="E75" s="13">
        <v>81301500265</v>
      </c>
      <c r="F75" s="11" t="str">
        <f>_xlfn.XLOOKUP(D75,Sheet1!C:C,Sheet1!E:E,0)</f>
        <v>1YtoEUUvgCLiQnIhOiMyvVcGWnrW9Saub</v>
      </c>
    </row>
    <row r="76" ht="15.15" spans="1:6">
      <c r="A76" s="18" t="s">
        <v>59</v>
      </c>
      <c r="B76" s="14" t="s">
        <v>52</v>
      </c>
      <c r="C76" s="14" t="s">
        <v>10</v>
      </c>
      <c r="D76" s="14" t="s">
        <v>130</v>
      </c>
      <c r="E76" s="14">
        <v>81301500241</v>
      </c>
      <c r="F76" s="11" t="str">
        <f>_xlfn.XLOOKUP(D76,Sheet1!C:C,Sheet1!E:E,0)</f>
        <v>19sach7Bnb3Chij2_rrX5kC6n-Vbo8fNx</v>
      </c>
    </row>
    <row r="77" ht="15.15" spans="1:6">
      <c r="A77" s="12" t="s">
        <v>66</v>
      </c>
      <c r="B77" s="13" t="s">
        <v>52</v>
      </c>
      <c r="C77" s="13" t="s">
        <v>10</v>
      </c>
      <c r="D77" s="14" t="s">
        <v>131</v>
      </c>
      <c r="E77" s="13">
        <v>81301500263</v>
      </c>
      <c r="F77" s="11" t="str">
        <f>_xlfn.XLOOKUP(D77,Sheet1!C:C,Sheet1!E:E,0)</f>
        <v>1TN8Y18S6wEhaX-oYxe4OcE9qDZiuuNvM</v>
      </c>
    </row>
    <row r="78" ht="15.15" spans="1:6">
      <c r="A78" s="15" t="s">
        <v>66</v>
      </c>
      <c r="B78" s="14" t="s">
        <v>52</v>
      </c>
      <c r="C78" s="14" t="s">
        <v>82</v>
      </c>
      <c r="D78" s="14" t="s">
        <v>132</v>
      </c>
      <c r="E78" s="14">
        <v>81301500246</v>
      </c>
      <c r="F78" s="11" t="str">
        <f>_xlfn.XLOOKUP(D78,Sheet1!C:C,Sheet1!E:E,0)</f>
        <v>1_T9K0nPW9owBG2k5fVnEgBceMj28aqnP</v>
      </c>
    </row>
    <row r="79" ht="15.15" spans="1:6">
      <c r="A79" s="12" t="s">
        <v>92</v>
      </c>
      <c r="B79" s="13" t="s">
        <v>52</v>
      </c>
      <c r="C79" s="13" t="s">
        <v>93</v>
      </c>
      <c r="D79" s="14" t="s">
        <v>133</v>
      </c>
      <c r="E79" s="13">
        <v>81301500240</v>
      </c>
      <c r="F79" s="11" t="str">
        <f>_xlfn.XLOOKUP(D79,Sheet1!C:C,Sheet1!E:E,0)</f>
        <v>104ST2J54j7kbRuXOG_8zTRnz40P3F9jA</v>
      </c>
    </row>
    <row r="80" ht="15.15" spans="1:6">
      <c r="A80" s="15" t="s">
        <v>8</v>
      </c>
      <c r="B80" s="14" t="s">
        <v>134</v>
      </c>
      <c r="C80" s="14" t="s">
        <v>82</v>
      </c>
      <c r="D80" s="14" t="s">
        <v>135</v>
      </c>
      <c r="E80" s="14">
        <v>81301500170</v>
      </c>
      <c r="F80" s="11" t="str">
        <f>_xlfn.XLOOKUP(D80,Sheet1!C:C,Sheet1!E:E,0)</f>
        <v>1uZ_nTiNFX39rNKRVxPdqRqJT_SIIK_9q</v>
      </c>
    </row>
    <row r="81" ht="15.15" spans="1:6">
      <c r="A81" s="12" t="s">
        <v>8</v>
      </c>
      <c r="B81" s="13" t="s">
        <v>134</v>
      </c>
      <c r="C81" s="13" t="s">
        <v>82</v>
      </c>
      <c r="D81" s="14" t="s">
        <v>136</v>
      </c>
      <c r="E81" s="13">
        <v>81301500172</v>
      </c>
      <c r="F81" s="11" t="str">
        <f>_xlfn.XLOOKUP(D81,Sheet1!C:C,Sheet1!E:E,0)</f>
        <v>1hXgsTqbUAUOYyo5Yk8-wW8Vebtc8XVQg</v>
      </c>
    </row>
    <row r="82" ht="15.15" spans="1:6">
      <c r="A82" s="15" t="s">
        <v>8</v>
      </c>
      <c r="B82" s="14" t="s">
        <v>120</v>
      </c>
      <c r="C82" s="14" t="s">
        <v>10</v>
      </c>
      <c r="D82" s="14" t="s">
        <v>137</v>
      </c>
      <c r="E82" s="21" t="s">
        <v>138</v>
      </c>
      <c r="F82" s="11" t="str">
        <f>_xlfn.XLOOKUP(D82,Sheet1!C:C,Sheet1!E:E,0)</f>
        <v>1sg8m3KNgKqCz4Co1FKO82cwDcfJ7foWF</v>
      </c>
    </row>
    <row r="83" ht="15.15" spans="1:6">
      <c r="A83" s="12" t="s">
        <v>8</v>
      </c>
      <c r="B83" s="13" t="s">
        <v>120</v>
      </c>
      <c r="C83" s="13" t="s">
        <v>10</v>
      </c>
      <c r="D83" s="14" t="s">
        <v>139</v>
      </c>
      <c r="E83" s="21" t="s">
        <v>140</v>
      </c>
      <c r="F83" s="11" t="str">
        <f>_xlfn.XLOOKUP(D83,Sheet1!C:C,Sheet1!E:E,0)</f>
        <v>1c4h-9rUZDxBdG4tCUTKrZx0VOzHVcA5g</v>
      </c>
    </row>
    <row r="84" ht="23.55" spans="1:6">
      <c r="A84" s="15" t="s">
        <v>8</v>
      </c>
      <c r="B84" s="14" t="s">
        <v>120</v>
      </c>
      <c r="C84" s="14" t="s">
        <v>36</v>
      </c>
      <c r="D84" s="14" t="s">
        <v>141</v>
      </c>
      <c r="E84" s="21" t="s">
        <v>142</v>
      </c>
      <c r="F84" s="11" t="str">
        <f>_xlfn.XLOOKUP(D84,Sheet1!C:C,Sheet1!E:E,0)</f>
        <v>1ZOqqwQj9gznpy9OClo2QmvMP7H9L79Nx</v>
      </c>
    </row>
    <row r="85" ht="23.55" spans="1:6">
      <c r="A85" s="12" t="s">
        <v>8</v>
      </c>
      <c r="B85" s="13" t="s">
        <v>120</v>
      </c>
      <c r="C85" s="13" t="s">
        <v>36</v>
      </c>
      <c r="D85" s="14" t="s">
        <v>143</v>
      </c>
      <c r="E85" s="21" t="s">
        <v>144</v>
      </c>
      <c r="F85" s="11" t="str">
        <f>_xlfn.XLOOKUP(D85,Sheet1!C:C,Sheet1!E:E,0)</f>
        <v>1D0fPzrHWduR11PsbIv2Bw0xtQNsKDbNH</v>
      </c>
    </row>
    <row r="86" ht="15.15" spans="1:6">
      <c r="A86" s="12" t="s">
        <v>8</v>
      </c>
      <c r="B86" s="13" t="s">
        <v>120</v>
      </c>
      <c r="C86" s="13" t="s">
        <v>145</v>
      </c>
      <c r="D86" s="14" t="s">
        <v>146</v>
      </c>
      <c r="E86" s="22" t="s">
        <v>147</v>
      </c>
    </row>
  </sheetData>
  <autoFilter xmlns:etc="http://www.wps.cn/officeDocument/2017/etCustomData" ref="A1:F85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1:F86"/>
  <sheetViews>
    <sheetView topLeftCell="A48" workbookViewId="0">
      <selection activeCell="E86" sqref="E86"/>
    </sheetView>
  </sheetViews>
  <sheetFormatPr defaultColWidth="8.89814814814815" defaultRowHeight="14.4" outlineLevelCol="5"/>
  <cols>
    <col min="1" max="1" width="8.89814814814815" style="1"/>
    <col min="2" max="2" width="24.6018518518519" style="2" customWidth="1"/>
    <col min="3" max="3" width="31.7037037037037" style="2" customWidth="1"/>
    <col min="4" max="4" width="31.7037037037037" style="1" customWidth="1"/>
    <col min="5" max="5" width="44.1018518518519" style="1" customWidth="1"/>
    <col min="6" max="6" width="11.2037037037037" style="1" customWidth="1"/>
    <col min="7" max="16384" width="8.89814814814815" style="1"/>
  </cols>
  <sheetData>
    <row r="1" ht="15.15"/>
    <row r="2" ht="15.15" spans="2:6">
      <c r="B2" s="3" t="s">
        <v>148</v>
      </c>
      <c r="C2" s="4" t="s">
        <v>149</v>
      </c>
      <c r="D2" s="5" t="s">
        <v>5</v>
      </c>
      <c r="E2" s="5" t="s">
        <v>150</v>
      </c>
    </row>
    <row r="3" ht="15.15" spans="2:6">
      <c r="B3" s="2" t="s">
        <v>151</v>
      </c>
      <c r="C3" s="4" t="s">
        <v>126</v>
      </c>
      <c r="D3" s="5">
        <v>123456789</v>
      </c>
      <c r="E3" s="5" t="s">
        <v>152</v>
      </c>
      <c r="F3" s="1" t="str">
        <f>_xlfn.XLOOKUP(C3,'Drawing List Database'!D:D,'Drawing List Database'!B:B,0)</f>
        <v>Petchtanjai</v>
      </c>
    </row>
    <row r="4" ht="15.15" spans="2:6">
      <c r="B4" s="2" t="s">
        <v>153</v>
      </c>
      <c r="C4" s="4" t="s">
        <v>16</v>
      </c>
      <c r="D4" s="5" t="s">
        <v>154</v>
      </c>
      <c r="E4" s="5" t="s">
        <v>155</v>
      </c>
      <c r="F4" s="1" t="str">
        <f>_xlfn.XLOOKUP(C4,'Drawing List Database'!D:D,'Drawing List Database'!B:B,0)</f>
        <v>Hatari</v>
      </c>
    </row>
    <row r="5" ht="15.15" spans="2:6">
      <c r="B5" s="2" t="s">
        <v>156</v>
      </c>
      <c r="C5" s="4" t="s">
        <v>41</v>
      </c>
      <c r="D5" s="5" t="s">
        <v>157</v>
      </c>
      <c r="E5" s="5" t="s">
        <v>158</v>
      </c>
      <c r="F5" s="1" t="str">
        <f>_xlfn.XLOOKUP(C5,'Drawing List Database'!D:D,'Drawing List Database'!B:B,0)</f>
        <v>A-Plus</v>
      </c>
    </row>
    <row r="6" ht="15.15" spans="2:6">
      <c r="B6" s="2" t="s">
        <v>159</v>
      </c>
      <c r="C6" s="4" t="s">
        <v>47</v>
      </c>
      <c r="D6" s="5" t="s">
        <v>48</v>
      </c>
      <c r="E6" s="5" t="s">
        <v>160</v>
      </c>
      <c r="F6" s="1" t="str">
        <f>_xlfn.XLOOKUP(C6,'Drawing List Database'!D:D,'Drawing List Database'!B:B,0)</f>
        <v>A-Plus</v>
      </c>
    </row>
    <row r="7" ht="15.15" spans="2:6">
      <c r="B7" s="2" t="s">
        <v>161</v>
      </c>
      <c r="C7" s="4" t="s">
        <v>34</v>
      </c>
      <c r="D7" s="5">
        <v>81301500165</v>
      </c>
      <c r="E7" s="5" t="s">
        <v>162</v>
      </c>
      <c r="F7" s="1" t="str">
        <f>_xlfn.XLOOKUP(C7,'Drawing List Database'!D:D,'Drawing List Database'!B:B,0)</f>
        <v>Interlink</v>
      </c>
    </row>
    <row r="8" ht="15.15" spans="2:6">
      <c r="B8" s="2" t="s">
        <v>163</v>
      </c>
      <c r="C8" s="4" t="s">
        <v>139</v>
      </c>
      <c r="D8" s="5" t="s">
        <v>140</v>
      </c>
      <c r="E8" s="5" t="s">
        <v>164</v>
      </c>
      <c r="F8" s="1" t="str">
        <f>_xlfn.XLOOKUP(C8,'Drawing List Database'!D:D,'Drawing List Database'!B:B,0)</f>
        <v>M.R.V</v>
      </c>
    </row>
    <row r="9" ht="15.15" spans="2:6">
      <c r="B9" s="2" t="s">
        <v>165</v>
      </c>
      <c r="C9" s="4" t="s">
        <v>26</v>
      </c>
      <c r="D9" s="5" t="s">
        <v>27</v>
      </c>
      <c r="E9" s="5" t="s">
        <v>166</v>
      </c>
      <c r="F9" s="1" t="str">
        <f>_xlfn.XLOOKUP(C9,'Drawing List Database'!D:D,'Drawing List Database'!B:B,0)</f>
        <v>Transpower</v>
      </c>
    </row>
    <row r="10" ht="15.15" spans="2:6">
      <c r="B10" s="2" t="s">
        <v>167</v>
      </c>
      <c r="C10" s="4" t="s">
        <v>24</v>
      </c>
      <c r="D10" s="5" t="s">
        <v>25</v>
      </c>
      <c r="E10" s="5" t="s">
        <v>168</v>
      </c>
      <c r="F10" s="1" t="str">
        <f>_xlfn.XLOOKUP(C10,'Drawing List Database'!D:D,'Drawing List Database'!B:B,0)</f>
        <v>Transpower</v>
      </c>
    </row>
    <row r="11" ht="15.15" spans="2:6">
      <c r="B11" s="2" t="s">
        <v>169</v>
      </c>
      <c r="C11" s="4" t="s">
        <v>22</v>
      </c>
      <c r="D11" s="5" t="s">
        <v>23</v>
      </c>
      <c r="E11" s="5" t="s">
        <v>170</v>
      </c>
      <c r="F11" s="1" t="str">
        <f>_xlfn.XLOOKUP(C11,'Drawing List Database'!D:D,'Drawing List Database'!B:B,0)</f>
        <v>Transpower</v>
      </c>
    </row>
    <row r="12" ht="15.15" spans="2:6">
      <c r="B12" s="2" t="s">
        <v>171</v>
      </c>
      <c r="C12" s="4" t="s">
        <v>20</v>
      </c>
      <c r="D12" s="5" t="s">
        <v>21</v>
      </c>
      <c r="E12" s="5" t="s">
        <v>172</v>
      </c>
      <c r="F12" s="1" t="str">
        <f>_xlfn.XLOOKUP(C12,'Drawing List Database'!D:D,'Drawing List Database'!B:B,0)</f>
        <v>Transpower</v>
      </c>
    </row>
    <row r="13" ht="15.15" spans="2:6">
      <c r="B13" s="2" t="s">
        <v>173</v>
      </c>
      <c r="C13" s="4" t="s">
        <v>143</v>
      </c>
      <c r="D13" s="5" t="s">
        <v>144</v>
      </c>
      <c r="E13" s="5" t="s">
        <v>174</v>
      </c>
      <c r="F13" s="1" t="str">
        <f>_xlfn.XLOOKUP(C13,'Drawing List Database'!D:D,'Drawing List Database'!B:B,0)</f>
        <v>M.R.V</v>
      </c>
    </row>
    <row r="14" ht="15.15" spans="2:6">
      <c r="B14" s="2" t="s">
        <v>175</v>
      </c>
      <c r="C14" s="4" t="s">
        <v>43</v>
      </c>
      <c r="D14" s="5" t="s">
        <v>176</v>
      </c>
      <c r="E14" s="5" t="s">
        <v>177</v>
      </c>
      <c r="F14" s="1" t="str">
        <f>_xlfn.XLOOKUP(C14,'Drawing List Database'!D:D,'Drawing List Database'!B:B,0)</f>
        <v>Qualia</v>
      </c>
    </row>
    <row r="15" ht="15.15" spans="2:6">
      <c r="B15" s="2" t="s">
        <v>178</v>
      </c>
      <c r="C15" s="4" t="s">
        <v>31</v>
      </c>
      <c r="D15" s="5" t="s">
        <v>179</v>
      </c>
      <c r="E15" s="5" t="s">
        <v>180</v>
      </c>
      <c r="F15" s="1" t="str">
        <f>_xlfn.XLOOKUP(C15,'Drawing List Database'!D:D,'Drawing List Database'!B:B,0)</f>
        <v>Qualia</v>
      </c>
    </row>
    <row r="16" ht="15.15" spans="2:6">
      <c r="B16" s="2" t="s">
        <v>181</v>
      </c>
      <c r="C16" s="4" t="s">
        <v>53</v>
      </c>
      <c r="D16" s="5" t="s">
        <v>182</v>
      </c>
      <c r="E16" s="5" t="s">
        <v>183</v>
      </c>
      <c r="F16" s="1" t="str">
        <f>_xlfn.XLOOKUP(C16,'Drawing List Database'!D:D,'Drawing List Database'!B:B,0)</f>
        <v>TCC</v>
      </c>
    </row>
    <row r="17" ht="15.15" spans="2:6">
      <c r="B17" s="2" t="s">
        <v>184</v>
      </c>
      <c r="C17" s="4" t="s">
        <v>121</v>
      </c>
      <c r="D17" s="5">
        <v>81301500245</v>
      </c>
      <c r="E17" s="5" t="s">
        <v>185</v>
      </c>
      <c r="F17" s="1" t="str">
        <f>_xlfn.XLOOKUP(C17,'Drawing List Database'!D:D,'Drawing List Database'!B:B,0)</f>
        <v>M.R.V</v>
      </c>
    </row>
    <row r="18" ht="15.15" spans="2:6">
      <c r="B18" s="2" t="s">
        <v>186</v>
      </c>
      <c r="C18" s="4" t="s">
        <v>11</v>
      </c>
      <c r="D18" s="5">
        <v>81301500168</v>
      </c>
      <c r="E18" s="5" t="s">
        <v>187</v>
      </c>
      <c r="F18" s="1" t="str">
        <f>_xlfn.XLOOKUP(C18,'Drawing List Database'!D:D,'Drawing List Database'!B:B,0)</f>
        <v>Huawei 2020</v>
      </c>
    </row>
    <row r="19" ht="15.15" spans="2:6">
      <c r="B19" s="2" t="s">
        <v>188</v>
      </c>
      <c r="C19" s="4" t="s">
        <v>110</v>
      </c>
      <c r="D19" s="5" t="s">
        <v>189</v>
      </c>
      <c r="E19" s="5" t="s">
        <v>190</v>
      </c>
      <c r="F19" s="1" t="str">
        <f>_xlfn.XLOOKUP(C19,'Drawing List Database'!D:D,'Drawing List Database'!B:B,0)</f>
        <v>TCC</v>
      </c>
    </row>
    <row r="20" ht="15.15" spans="2:6">
      <c r="B20" s="2" t="s">
        <v>191</v>
      </c>
      <c r="C20" s="4" t="s">
        <v>101</v>
      </c>
      <c r="D20" s="5" t="s">
        <v>192</v>
      </c>
      <c r="E20" s="5" t="s">
        <v>193</v>
      </c>
      <c r="F20" s="1" t="str">
        <f>_xlfn.XLOOKUP(C20,'Drawing List Database'!D:D,'Drawing List Database'!B:B,0)</f>
        <v>TCC</v>
      </c>
    </row>
    <row r="21" ht="15.15" spans="2:6">
      <c r="B21" s="2" t="s">
        <v>194</v>
      </c>
      <c r="C21" s="4" t="s">
        <v>35</v>
      </c>
      <c r="D21" s="5" t="s">
        <v>195</v>
      </c>
      <c r="E21" s="5" t="s">
        <v>196</v>
      </c>
      <c r="F21" s="1" t="str">
        <f>_xlfn.XLOOKUP(C21,'Drawing List Database'!D:D,'Drawing List Database'!B:B,0)</f>
        <v>A-Plus</v>
      </c>
    </row>
    <row r="22" ht="15.15" spans="2:6">
      <c r="B22" s="2" t="s">
        <v>197</v>
      </c>
      <c r="C22" s="4" t="s">
        <v>37</v>
      </c>
      <c r="D22" s="5" t="s">
        <v>198</v>
      </c>
      <c r="E22" s="5" t="s">
        <v>199</v>
      </c>
      <c r="F22" s="1" t="str">
        <f>_xlfn.XLOOKUP(C22,'Drawing List Database'!D:D,'Drawing List Database'!B:B,0)</f>
        <v>A-Plus</v>
      </c>
    </row>
    <row r="23" ht="15.15" spans="2:6">
      <c r="B23" s="2" t="s">
        <v>200</v>
      </c>
      <c r="C23" s="4" t="s">
        <v>136</v>
      </c>
      <c r="D23" s="5">
        <v>81301500172</v>
      </c>
      <c r="E23" s="5" t="s">
        <v>201</v>
      </c>
      <c r="F23" s="1" t="str">
        <f>_xlfn.XLOOKUP(C23,'Drawing List Database'!D:D,'Drawing List Database'!B:B,0)</f>
        <v>Hatari/AAL</v>
      </c>
    </row>
    <row r="24" ht="15.15" spans="2:6">
      <c r="B24" s="2" t="s">
        <v>202</v>
      </c>
      <c r="C24" s="4" t="s">
        <v>135</v>
      </c>
      <c r="D24" s="5">
        <v>81301500170</v>
      </c>
      <c r="E24" s="5" t="s">
        <v>203</v>
      </c>
      <c r="F24" s="1" t="str">
        <f>_xlfn.XLOOKUP(C24,'Drawing List Database'!D:D,'Drawing List Database'!B:B,0)</f>
        <v>Hatari/AAL</v>
      </c>
    </row>
    <row r="25" ht="15.15" spans="2:6">
      <c r="B25" s="2" t="s">
        <v>204</v>
      </c>
      <c r="C25" s="4" t="s">
        <v>133</v>
      </c>
      <c r="D25" s="5" t="s">
        <v>205</v>
      </c>
      <c r="E25" s="5" t="s">
        <v>206</v>
      </c>
      <c r="F25" s="1" t="str">
        <f>_xlfn.XLOOKUP(C25,'Drawing List Database'!D:D,'Drawing List Database'!B:B,0)</f>
        <v>TCC</v>
      </c>
    </row>
    <row r="26" ht="15.15" spans="2:6">
      <c r="B26" s="2" t="s">
        <v>207</v>
      </c>
      <c r="C26" s="4" t="s">
        <v>127</v>
      </c>
      <c r="D26" s="5" t="s">
        <v>208</v>
      </c>
      <c r="E26" s="5" t="s">
        <v>209</v>
      </c>
      <c r="F26" s="1" t="str">
        <f>_xlfn.XLOOKUP(C26,'Drawing List Database'!D:D,'Drawing List Database'!B:B,0)</f>
        <v>A-Plus</v>
      </c>
    </row>
    <row r="27" ht="15.15" spans="2:6">
      <c r="B27" s="2" t="s">
        <v>210</v>
      </c>
      <c r="C27" s="4" t="s">
        <v>122</v>
      </c>
      <c r="D27" s="5">
        <v>81301500250</v>
      </c>
      <c r="E27" s="5" t="s">
        <v>211</v>
      </c>
      <c r="F27" s="1" t="str">
        <f>_xlfn.XLOOKUP(C27,'Drawing List Database'!D:D,'Drawing List Database'!B:B,0)</f>
        <v>M.R.V</v>
      </c>
    </row>
    <row r="28" ht="15.15" spans="2:6">
      <c r="B28" s="2" t="s">
        <v>212</v>
      </c>
      <c r="C28" s="4" t="s">
        <v>81</v>
      </c>
      <c r="D28" s="5" t="s">
        <v>213</v>
      </c>
      <c r="E28" s="5" t="s">
        <v>214</v>
      </c>
      <c r="F28" s="1" t="str">
        <f>_xlfn.XLOOKUP(C28,'Drawing List Database'!D:D,'Drawing List Database'!B:B,0)</f>
        <v>TCC</v>
      </c>
    </row>
    <row r="29" ht="15.15" spans="2:6">
      <c r="B29" s="2" t="s">
        <v>215</v>
      </c>
      <c r="C29" s="4" t="s">
        <v>74</v>
      </c>
      <c r="D29" s="5" t="s">
        <v>216</v>
      </c>
      <c r="E29" s="5" t="s">
        <v>217</v>
      </c>
      <c r="F29" s="1" t="str">
        <f>_xlfn.XLOOKUP(C29,'Drawing List Database'!D:D,'Drawing List Database'!B:B,0)</f>
        <v>TCC</v>
      </c>
    </row>
    <row r="30" ht="15.15" spans="2:6">
      <c r="B30" s="2" t="s">
        <v>218</v>
      </c>
      <c r="C30" s="4" t="s">
        <v>72</v>
      </c>
      <c r="D30" s="5" t="s">
        <v>219</v>
      </c>
      <c r="E30" s="5" t="s">
        <v>220</v>
      </c>
      <c r="F30" s="1" t="str">
        <f>_xlfn.XLOOKUP(C30,'Drawing List Database'!D:D,'Drawing List Database'!B:B,0)</f>
        <v>TCC</v>
      </c>
    </row>
    <row r="31" ht="15.15" spans="2:6">
      <c r="B31" s="2" t="s">
        <v>221</v>
      </c>
      <c r="C31" s="4" t="s">
        <v>56</v>
      </c>
      <c r="D31" s="5" t="s">
        <v>222</v>
      </c>
      <c r="E31" s="5" t="s">
        <v>223</v>
      </c>
      <c r="F31" s="1" t="str">
        <f>_xlfn.XLOOKUP(C31,'Drawing List Database'!D:D,'Drawing List Database'!B:B,0)</f>
        <v>TCC</v>
      </c>
    </row>
    <row r="32" ht="15.15" spans="2:6">
      <c r="B32" s="2" t="s">
        <v>224</v>
      </c>
      <c r="C32" s="4" t="s">
        <v>54</v>
      </c>
      <c r="D32" s="5" t="s">
        <v>225</v>
      </c>
      <c r="E32" s="5" t="s">
        <v>226</v>
      </c>
      <c r="F32" s="1" t="str">
        <f>_xlfn.XLOOKUP(C32,'Drawing List Database'!D:D,'Drawing List Database'!B:B,0)</f>
        <v>TCC</v>
      </c>
    </row>
    <row r="33" ht="15.15" spans="2:6">
      <c r="B33" s="2" t="s">
        <v>227</v>
      </c>
      <c r="C33" s="4" t="s">
        <v>39</v>
      </c>
      <c r="D33" s="5">
        <v>81301500244</v>
      </c>
      <c r="E33" s="5" t="s">
        <v>228</v>
      </c>
      <c r="F33" s="1" t="str">
        <f>_xlfn.XLOOKUP(C33,'Drawing List Database'!D:D,'Drawing List Database'!B:B,0)</f>
        <v>A-Plus</v>
      </c>
    </row>
    <row r="34" ht="15.15" spans="2:6">
      <c r="B34" s="2" t="s">
        <v>229</v>
      </c>
      <c r="C34" s="4" t="s">
        <v>29</v>
      </c>
      <c r="D34" s="5" t="s">
        <v>230</v>
      </c>
      <c r="E34" s="5" t="s">
        <v>231</v>
      </c>
      <c r="F34" s="1" t="str">
        <f>_xlfn.XLOOKUP(C34,'Drawing List Database'!D:D,'Drawing List Database'!B:B,0)</f>
        <v>Huawei 2020</v>
      </c>
    </row>
    <row r="35" ht="15.15" spans="2:6">
      <c r="B35" s="2" t="s">
        <v>232</v>
      </c>
      <c r="C35" s="4" t="s">
        <v>18</v>
      </c>
      <c r="D35" s="5" t="s">
        <v>233</v>
      </c>
      <c r="E35" s="5" t="s">
        <v>234</v>
      </c>
      <c r="F35" s="1" t="str">
        <f>_xlfn.XLOOKUP(C35,'Drawing List Database'!D:D,'Drawing List Database'!B:B,0)</f>
        <v>A-Plus</v>
      </c>
    </row>
    <row r="36" ht="15.15" spans="2:6">
      <c r="B36" s="2" t="s">
        <v>235</v>
      </c>
      <c r="C36" s="4" t="s">
        <v>15</v>
      </c>
      <c r="D36" s="5">
        <v>81301500257</v>
      </c>
      <c r="E36" s="5" t="s">
        <v>236</v>
      </c>
      <c r="F36" s="1" t="str">
        <f>_xlfn.XLOOKUP(C36,'Drawing List Database'!D:D,'Drawing List Database'!B:B,0)</f>
        <v>Hatari</v>
      </c>
    </row>
    <row r="37" ht="15.15" spans="2:6">
      <c r="B37" s="2" t="s">
        <v>237</v>
      </c>
      <c r="C37" s="4" t="s">
        <v>131</v>
      </c>
      <c r="D37" s="5" t="s">
        <v>238</v>
      </c>
      <c r="E37" s="5" t="s">
        <v>239</v>
      </c>
      <c r="F37" s="1" t="str">
        <f>_xlfn.XLOOKUP(C37,'Drawing List Database'!D:D,'Drawing List Database'!B:B,0)</f>
        <v>TCC</v>
      </c>
    </row>
    <row r="38" ht="15.15" spans="2:6">
      <c r="B38" s="2" t="s">
        <v>240</v>
      </c>
      <c r="C38" s="4" t="s">
        <v>130</v>
      </c>
      <c r="D38" s="5" t="s">
        <v>241</v>
      </c>
      <c r="E38" s="5" t="s">
        <v>242</v>
      </c>
      <c r="F38" s="1" t="str">
        <f>_xlfn.XLOOKUP(C38,'Drawing List Database'!D:D,'Drawing List Database'!B:B,0)</f>
        <v>TCC</v>
      </c>
    </row>
    <row r="39" ht="15.15" spans="2:6">
      <c r="B39" s="2" t="s">
        <v>243</v>
      </c>
      <c r="C39" s="4" t="s">
        <v>129</v>
      </c>
      <c r="D39" s="5" t="s">
        <v>244</v>
      </c>
      <c r="E39" s="5" t="s">
        <v>245</v>
      </c>
      <c r="F39" s="1" t="str">
        <f>_xlfn.XLOOKUP(C39,'Drawing List Database'!D:D,'Drawing List Database'!B:B,0)</f>
        <v>A-Plus</v>
      </c>
    </row>
    <row r="40" ht="15.15" spans="2:6">
      <c r="B40" s="2" t="s">
        <v>246</v>
      </c>
      <c r="C40" s="4" t="s">
        <v>128</v>
      </c>
      <c r="D40" s="5" t="s">
        <v>247</v>
      </c>
      <c r="E40" s="5" t="s">
        <v>248</v>
      </c>
      <c r="F40" s="1" t="str">
        <f>_xlfn.XLOOKUP(C40,'Drawing List Database'!D:D,'Drawing List Database'!B:B,0)</f>
        <v>A-Plus</v>
      </c>
    </row>
    <row r="41" ht="15.15" spans="2:6">
      <c r="B41" s="2" t="s">
        <v>249</v>
      </c>
      <c r="C41" s="4" t="s">
        <v>137</v>
      </c>
      <c r="D41" s="5" t="s">
        <v>138</v>
      </c>
      <c r="E41" s="5" t="s">
        <v>250</v>
      </c>
      <c r="F41" s="1" t="str">
        <f>_xlfn.XLOOKUP(C41,'Drawing List Database'!D:D,'Drawing List Database'!B:B,0)</f>
        <v>M.R.V</v>
      </c>
    </row>
    <row r="42" ht="15.15" spans="2:6">
      <c r="B42" s="2" t="s">
        <v>251</v>
      </c>
      <c r="C42" s="4" t="s">
        <v>141</v>
      </c>
      <c r="D42" s="5" t="s">
        <v>142</v>
      </c>
      <c r="E42" s="5" t="s">
        <v>252</v>
      </c>
      <c r="F42" s="1" t="str">
        <f>_xlfn.XLOOKUP(C42,'Drawing List Database'!D:D,'Drawing List Database'!B:B,0)</f>
        <v>M.R.V</v>
      </c>
    </row>
    <row r="43" ht="15.15" spans="2:6">
      <c r="B43" s="3" t="s">
        <v>253</v>
      </c>
      <c r="C43" s="4" t="s">
        <v>254</v>
      </c>
      <c r="D43" s="5">
        <v>0</v>
      </c>
      <c r="E43" s="5" t="s">
        <v>255</v>
      </c>
      <c r="F43" s="1">
        <f>_xlfn.XLOOKUP(C43,'Drawing List Database'!D:D,'Drawing List Database'!B:B,0)</f>
        <v>0</v>
      </c>
    </row>
    <row r="44" ht="15.15" spans="2:6">
      <c r="B44" s="2" t="s">
        <v>256</v>
      </c>
      <c r="C44" s="4" t="s">
        <v>114</v>
      </c>
      <c r="D44" s="5" t="s">
        <v>257</v>
      </c>
      <c r="E44" s="5" t="s">
        <v>258</v>
      </c>
      <c r="F44" s="1" t="str">
        <f>_xlfn.XLOOKUP(C44,'Drawing List Database'!D:D,'Drawing List Database'!B:B,0)</f>
        <v>Interlink</v>
      </c>
    </row>
    <row r="45" ht="15.15" spans="2:6">
      <c r="B45" s="2" t="s">
        <v>259</v>
      </c>
      <c r="C45" s="4" t="s">
        <v>115</v>
      </c>
      <c r="D45" s="5" t="s">
        <v>116</v>
      </c>
      <c r="E45" s="5" t="s">
        <v>260</v>
      </c>
      <c r="F45" s="1" t="str">
        <f>_xlfn.XLOOKUP(C45,'Drawing List Database'!D:D,'Drawing List Database'!B:B,0)</f>
        <v>Interlink</v>
      </c>
    </row>
    <row r="46" ht="15.15" spans="2:6">
      <c r="B46" s="2" t="s">
        <v>261</v>
      </c>
      <c r="C46" s="4" t="s">
        <v>119</v>
      </c>
      <c r="D46" s="5" t="s">
        <v>262</v>
      </c>
      <c r="E46" s="5" t="s">
        <v>263</v>
      </c>
      <c r="F46" s="1" t="str">
        <f>_xlfn.XLOOKUP(C46,'Drawing List Database'!D:D,'Drawing List Database'!B:B,0)</f>
        <v>Huawei 2020</v>
      </c>
    </row>
    <row r="47" ht="15.15" spans="2:6">
      <c r="B47" s="2" t="s">
        <v>264</v>
      </c>
      <c r="C47" s="4" t="s">
        <v>117</v>
      </c>
      <c r="D47" s="5" t="s">
        <v>118</v>
      </c>
      <c r="E47" s="5" t="s">
        <v>265</v>
      </c>
      <c r="F47" s="1" t="str">
        <f>_xlfn.XLOOKUP(C47,'Drawing List Database'!D:D,'Drawing List Database'!B:B,0)</f>
        <v>Huawei 2020</v>
      </c>
    </row>
    <row r="48" ht="15.15" spans="2:6">
      <c r="B48" s="2" t="s">
        <v>266</v>
      </c>
      <c r="C48" s="4" t="s">
        <v>33</v>
      </c>
      <c r="D48" s="5">
        <v>81301500262</v>
      </c>
      <c r="E48" s="5" t="s">
        <v>267</v>
      </c>
      <c r="F48" s="1" t="str">
        <f>_xlfn.XLOOKUP(C48,'Drawing List Database'!D:D,'Drawing List Database'!B:B,0)</f>
        <v>Interlink</v>
      </c>
    </row>
    <row r="49" ht="15.15" spans="2:6">
      <c r="B49" s="2" t="s">
        <v>268</v>
      </c>
      <c r="C49" s="4" t="s">
        <v>76</v>
      </c>
      <c r="D49" s="5">
        <v>0</v>
      </c>
      <c r="E49" s="5" t="s">
        <v>269</v>
      </c>
      <c r="F49" s="1" t="str">
        <f>_xlfn.XLOOKUP(C49,'Drawing List Database'!D:D,'Drawing List Database'!B:B,0)</f>
        <v>TCC</v>
      </c>
    </row>
    <row r="50" ht="15.15" spans="2:6">
      <c r="B50" s="2" t="s">
        <v>270</v>
      </c>
      <c r="C50" s="4" t="s">
        <v>75</v>
      </c>
      <c r="D50" s="5">
        <v>0</v>
      </c>
      <c r="E50" s="5" t="s">
        <v>271</v>
      </c>
      <c r="F50" s="1" t="str">
        <f>_xlfn.XLOOKUP(C50,'Drawing List Database'!D:D,'Drawing List Database'!B:B,0)</f>
        <v>TCC</v>
      </c>
    </row>
    <row r="51" ht="15.15" spans="2:6">
      <c r="B51" s="2" t="s">
        <v>272</v>
      </c>
      <c r="C51" s="4" t="s">
        <v>14</v>
      </c>
      <c r="D51" s="5" t="s">
        <v>273</v>
      </c>
      <c r="E51" s="5" t="s">
        <v>274</v>
      </c>
      <c r="F51" s="1" t="str">
        <f>_xlfn.XLOOKUP(C51,'Drawing List Database'!D:D,'Drawing List Database'!B:B,0)</f>
        <v>Hatari</v>
      </c>
    </row>
    <row r="52" ht="15.15" spans="2:6">
      <c r="B52" s="2" t="s">
        <v>275</v>
      </c>
      <c r="C52" s="4" t="s">
        <v>13</v>
      </c>
      <c r="D52" s="5">
        <v>81301500160</v>
      </c>
      <c r="E52" s="5" t="s">
        <v>276</v>
      </c>
      <c r="F52" s="1" t="str">
        <f>_xlfn.XLOOKUP(C52,'Drawing List Database'!D:D,'Drawing List Database'!B:B,0)</f>
        <v>Hatari</v>
      </c>
    </row>
    <row r="53" ht="15.15" spans="2:6">
      <c r="B53" s="2" t="s">
        <v>277</v>
      </c>
      <c r="C53" s="4" t="s">
        <v>42</v>
      </c>
      <c r="D53" s="5" t="s">
        <v>278</v>
      </c>
      <c r="E53" s="5" t="s">
        <v>279</v>
      </c>
      <c r="F53" s="1" t="str">
        <f>_xlfn.XLOOKUP(C53,'Drawing List Database'!D:D,'Drawing List Database'!B:B,0)</f>
        <v>Qualia</v>
      </c>
    </row>
    <row r="54" ht="15.15" spans="2:6">
      <c r="B54" s="2" t="s">
        <v>280</v>
      </c>
      <c r="C54" s="4" t="s">
        <v>44</v>
      </c>
      <c r="D54" s="5" t="s">
        <v>45</v>
      </c>
      <c r="E54" s="5" t="s">
        <v>281</v>
      </c>
      <c r="F54" s="1" t="str">
        <f>_xlfn.XLOOKUP(C54,'Drawing List Database'!D:D,'Drawing List Database'!B:B,0)</f>
        <v>Interlink</v>
      </c>
    </row>
    <row r="55" ht="15.15" spans="2:6">
      <c r="B55" s="2" t="s">
        <v>282</v>
      </c>
      <c r="C55" s="4" t="s">
        <v>113</v>
      </c>
      <c r="D55" s="5" t="s">
        <v>283</v>
      </c>
      <c r="E55" s="5" t="s">
        <v>284</v>
      </c>
      <c r="F55" s="1" t="str">
        <f>_xlfn.XLOOKUP(C55,'Drawing List Database'!D:D,'Drawing List Database'!B:B,0)</f>
        <v>Interlink</v>
      </c>
    </row>
    <row r="56" ht="15.15" spans="2:6">
      <c r="B56" s="2" t="s">
        <v>285</v>
      </c>
      <c r="C56" s="4" t="s">
        <v>112</v>
      </c>
      <c r="D56" s="5" t="s">
        <v>286</v>
      </c>
      <c r="E56" s="5" t="s">
        <v>287</v>
      </c>
      <c r="F56" s="1" t="str">
        <f>_xlfn.XLOOKUP(C56,'Drawing List Database'!D:D,'Drawing List Database'!B:B,0)</f>
        <v>TCC</v>
      </c>
    </row>
    <row r="57" ht="15.15" spans="2:6">
      <c r="B57" s="2" t="s">
        <v>288</v>
      </c>
      <c r="C57" s="4" t="s">
        <v>111</v>
      </c>
      <c r="D57" s="5" t="s">
        <v>289</v>
      </c>
      <c r="E57" s="5" t="s">
        <v>290</v>
      </c>
      <c r="F57" s="1" t="str">
        <f>_xlfn.XLOOKUP(C57,'Drawing List Database'!D:D,'Drawing List Database'!B:B,0)</f>
        <v>TCC</v>
      </c>
    </row>
    <row r="58" ht="15.15" spans="2:6">
      <c r="B58" s="2" t="s">
        <v>291</v>
      </c>
      <c r="C58" s="4" t="s">
        <v>106</v>
      </c>
      <c r="D58" s="5" t="s">
        <v>292</v>
      </c>
      <c r="E58" s="5" t="s">
        <v>293</v>
      </c>
      <c r="F58" s="1" t="str">
        <f>_xlfn.XLOOKUP(C58,'Drawing List Database'!D:D,'Drawing List Database'!B:B,0)</f>
        <v>TCC</v>
      </c>
    </row>
    <row r="59" ht="15.15" spans="2:6">
      <c r="B59" s="2" t="s">
        <v>294</v>
      </c>
      <c r="C59" s="4" t="s">
        <v>105</v>
      </c>
      <c r="D59" s="5" t="s">
        <v>295</v>
      </c>
      <c r="E59" s="5" t="s">
        <v>296</v>
      </c>
      <c r="F59" s="1" t="str">
        <f>_xlfn.XLOOKUP(C59,'Drawing List Database'!D:D,'Drawing List Database'!B:B,0)</f>
        <v>TCC</v>
      </c>
    </row>
    <row r="60" ht="15.15" spans="2:6">
      <c r="B60" s="2" t="s">
        <v>297</v>
      </c>
      <c r="C60" s="4" t="s">
        <v>100</v>
      </c>
      <c r="D60" s="5" t="s">
        <v>298</v>
      </c>
      <c r="E60" s="5" t="s">
        <v>299</v>
      </c>
      <c r="F60" s="1" t="str">
        <f>_xlfn.XLOOKUP(C60,'Drawing List Database'!D:D,'Drawing List Database'!B:B,0)</f>
        <v>TCC</v>
      </c>
    </row>
    <row r="61" ht="15.15" spans="2:6">
      <c r="B61" s="2" t="s">
        <v>300</v>
      </c>
      <c r="C61" s="4" t="s">
        <v>97</v>
      </c>
      <c r="D61" s="5" t="s">
        <v>301</v>
      </c>
      <c r="E61" s="5" t="s">
        <v>302</v>
      </c>
      <c r="F61" s="1" t="str">
        <f>_xlfn.XLOOKUP(C61,'Drawing List Database'!D:D,'Drawing List Database'!B:B,0)</f>
        <v>TCC</v>
      </c>
    </row>
    <row r="62" ht="15.15" spans="2:6">
      <c r="B62" s="2" t="s">
        <v>303</v>
      </c>
      <c r="C62" s="4" t="s">
        <v>94</v>
      </c>
      <c r="D62" s="5" t="s">
        <v>304</v>
      </c>
      <c r="E62" s="5" t="s">
        <v>305</v>
      </c>
      <c r="F62" s="1" t="str">
        <f>_xlfn.XLOOKUP(C62,'Drawing List Database'!D:D,'Drawing List Database'!B:B,0)</f>
        <v>TCC</v>
      </c>
    </row>
    <row r="63" ht="15.15" spans="2:6">
      <c r="B63" s="2" t="s">
        <v>306</v>
      </c>
      <c r="C63" s="4" t="s">
        <v>102</v>
      </c>
      <c r="D63" s="5" t="s">
        <v>307</v>
      </c>
      <c r="E63" s="5" t="s">
        <v>308</v>
      </c>
      <c r="F63" s="1" t="str">
        <f>_xlfn.XLOOKUP(C63,'Drawing List Database'!D:D,'Drawing List Database'!B:B,0)</f>
        <v>TCC</v>
      </c>
    </row>
    <row r="64" ht="15.15" spans="2:6">
      <c r="B64" s="2" t="s">
        <v>309</v>
      </c>
      <c r="C64" s="4" t="s">
        <v>109</v>
      </c>
      <c r="D64" s="5" t="s">
        <v>310</v>
      </c>
      <c r="E64" s="5" t="s">
        <v>311</v>
      </c>
      <c r="F64" s="1" t="str">
        <f>_xlfn.XLOOKUP(C64,'Drawing List Database'!D:D,'Drawing List Database'!B:B,0)</f>
        <v>TCC</v>
      </c>
    </row>
    <row r="65" ht="15.15" spans="2:6">
      <c r="B65" s="2" t="s">
        <v>312</v>
      </c>
      <c r="C65" s="4" t="s">
        <v>91</v>
      </c>
      <c r="D65" s="5" t="s">
        <v>313</v>
      </c>
      <c r="E65" s="5" t="s">
        <v>314</v>
      </c>
      <c r="F65" s="1" t="str">
        <f>_xlfn.XLOOKUP(C65,'Drawing List Database'!D:D,'Drawing List Database'!B:B,0)</f>
        <v>TCC</v>
      </c>
    </row>
    <row r="66" ht="15.15" spans="2:6">
      <c r="B66" s="2" t="s">
        <v>315</v>
      </c>
      <c r="C66" s="4" t="s">
        <v>89</v>
      </c>
      <c r="D66" s="5" t="s">
        <v>316</v>
      </c>
      <c r="E66" s="5" t="s">
        <v>317</v>
      </c>
      <c r="F66" s="1" t="str">
        <f>_xlfn.XLOOKUP(C66,'Drawing List Database'!D:D,'Drawing List Database'!B:B,0)</f>
        <v>TCC</v>
      </c>
    </row>
    <row r="67" ht="15.15" spans="2:6">
      <c r="B67" s="2" t="s">
        <v>318</v>
      </c>
      <c r="C67" s="4" t="s">
        <v>90</v>
      </c>
      <c r="D67" s="5" t="s">
        <v>319</v>
      </c>
      <c r="E67" s="5" t="s">
        <v>320</v>
      </c>
      <c r="F67" s="1" t="str">
        <f>_xlfn.XLOOKUP(C67,'Drawing List Database'!D:D,'Drawing List Database'!B:B,0)</f>
        <v>TCC</v>
      </c>
    </row>
    <row r="68" ht="15.15" spans="2:6">
      <c r="B68" s="2" t="s">
        <v>321</v>
      </c>
      <c r="C68" s="4" t="s">
        <v>88</v>
      </c>
      <c r="D68" s="5" t="s">
        <v>322</v>
      </c>
      <c r="E68" s="5" t="s">
        <v>323</v>
      </c>
      <c r="F68" s="1" t="str">
        <f>_xlfn.XLOOKUP(C68,'Drawing List Database'!D:D,'Drawing List Database'!B:B,0)</f>
        <v>TCC</v>
      </c>
    </row>
    <row r="69" ht="15.15" spans="2:6">
      <c r="B69" s="2" t="s">
        <v>324</v>
      </c>
      <c r="C69" s="4" t="s">
        <v>87</v>
      </c>
      <c r="D69" s="5" t="s">
        <v>325</v>
      </c>
      <c r="E69" s="5" t="s">
        <v>326</v>
      </c>
      <c r="F69" s="1" t="str">
        <f>_xlfn.XLOOKUP(C69,'Drawing List Database'!D:D,'Drawing List Database'!B:B,0)</f>
        <v>TCC</v>
      </c>
    </row>
    <row r="70" ht="15.15" spans="2:6">
      <c r="B70" s="2" t="s">
        <v>327</v>
      </c>
      <c r="C70" s="4" t="s">
        <v>85</v>
      </c>
      <c r="D70" s="5" t="s">
        <v>328</v>
      </c>
      <c r="E70" s="5" t="s">
        <v>329</v>
      </c>
      <c r="F70" s="1" t="str">
        <f>_xlfn.XLOOKUP(C70,'Drawing List Database'!D:D,'Drawing List Database'!B:B,0)</f>
        <v>TCC</v>
      </c>
    </row>
    <row r="71" ht="15.15" spans="2:6">
      <c r="B71" s="2" t="s">
        <v>330</v>
      </c>
      <c r="C71" s="4" t="s">
        <v>80</v>
      </c>
      <c r="D71" s="5" t="s">
        <v>331</v>
      </c>
      <c r="E71" s="5" t="s">
        <v>332</v>
      </c>
      <c r="F71" s="1" t="str">
        <f>_xlfn.XLOOKUP(C71,'Drawing List Database'!D:D,'Drawing List Database'!B:B,0)</f>
        <v>TCC</v>
      </c>
    </row>
    <row r="72" ht="15.15" spans="2:6">
      <c r="B72" s="2" t="s">
        <v>333</v>
      </c>
      <c r="C72" s="4" t="s">
        <v>83</v>
      </c>
      <c r="D72" s="5" t="s">
        <v>334</v>
      </c>
      <c r="E72" s="5" t="s">
        <v>335</v>
      </c>
      <c r="F72" s="1" t="str">
        <f>_xlfn.XLOOKUP(C72,'Drawing List Database'!D:D,'Drawing List Database'!B:B,0)</f>
        <v>TCC</v>
      </c>
    </row>
    <row r="73" ht="15.15" spans="2:6">
      <c r="B73" s="2" t="s">
        <v>336</v>
      </c>
      <c r="C73" s="4" t="s">
        <v>78</v>
      </c>
      <c r="D73" s="5" t="s">
        <v>337</v>
      </c>
      <c r="E73" s="5" t="s">
        <v>338</v>
      </c>
      <c r="F73" s="1" t="str">
        <f>_xlfn.XLOOKUP(C73,'Drawing List Database'!D:D,'Drawing List Database'!B:B,0)</f>
        <v>TCC</v>
      </c>
    </row>
    <row r="74" ht="15.15" spans="2:6">
      <c r="B74" s="2" t="s">
        <v>339</v>
      </c>
      <c r="C74" s="4" t="s">
        <v>77</v>
      </c>
      <c r="D74" s="5" t="s">
        <v>340</v>
      </c>
      <c r="E74" s="5" t="s">
        <v>341</v>
      </c>
      <c r="F74" s="1" t="str">
        <f>_xlfn.XLOOKUP(C74,'Drawing List Database'!D:D,'Drawing List Database'!B:B,0)</f>
        <v>TCC</v>
      </c>
    </row>
    <row r="75" ht="15.15" spans="2:6">
      <c r="B75" s="2" t="s">
        <v>342</v>
      </c>
      <c r="C75" s="4" t="s">
        <v>70</v>
      </c>
      <c r="D75" s="5" t="s">
        <v>343</v>
      </c>
      <c r="E75" s="5" t="s">
        <v>344</v>
      </c>
      <c r="F75" s="1" t="str">
        <f>_xlfn.XLOOKUP(C75,'Drawing List Database'!D:D,'Drawing List Database'!B:B,0)</f>
        <v>TCC</v>
      </c>
    </row>
    <row r="76" ht="15.15" spans="2:6">
      <c r="B76" s="2" t="s">
        <v>345</v>
      </c>
      <c r="C76" s="4" t="s">
        <v>69</v>
      </c>
      <c r="D76" s="5" t="s">
        <v>346</v>
      </c>
      <c r="E76" s="5" t="s">
        <v>347</v>
      </c>
      <c r="F76" s="1" t="str">
        <f>_xlfn.XLOOKUP(C76,'Drawing List Database'!D:D,'Drawing List Database'!B:B,0)</f>
        <v>TCC</v>
      </c>
    </row>
    <row r="77" ht="15.15" spans="2:6">
      <c r="B77" s="2" t="s">
        <v>348</v>
      </c>
      <c r="C77" s="4" t="s">
        <v>132</v>
      </c>
      <c r="D77" s="5" t="s">
        <v>349</v>
      </c>
      <c r="E77" s="5" t="s">
        <v>350</v>
      </c>
      <c r="F77" s="1" t="str">
        <f>_xlfn.XLOOKUP(C77,'Drawing List Database'!D:D,'Drawing List Database'!B:B,0)</f>
        <v>TCC</v>
      </c>
    </row>
    <row r="78" ht="15.15" spans="2:6">
      <c r="B78" s="2" t="s">
        <v>351</v>
      </c>
      <c r="C78" s="4" t="s">
        <v>68</v>
      </c>
      <c r="D78" s="5" t="s">
        <v>352</v>
      </c>
      <c r="E78" s="5" t="s">
        <v>353</v>
      </c>
      <c r="F78" s="1" t="str">
        <f>_xlfn.XLOOKUP(C78,'Drawing List Database'!D:D,'Drawing List Database'!B:B,0)</f>
        <v>TCC</v>
      </c>
    </row>
    <row r="79" ht="15.15" spans="2:6">
      <c r="B79" s="2" t="s">
        <v>354</v>
      </c>
      <c r="C79" s="4" t="s">
        <v>67</v>
      </c>
      <c r="D79" s="5" t="s">
        <v>355</v>
      </c>
      <c r="E79" s="5" t="s">
        <v>356</v>
      </c>
      <c r="F79" s="1" t="str">
        <f>_xlfn.XLOOKUP(C79,'Drawing List Database'!D:D,'Drawing List Database'!B:B,0)</f>
        <v>TCC</v>
      </c>
    </row>
    <row r="80" ht="15.15" spans="2:6">
      <c r="B80" s="2" t="s">
        <v>357</v>
      </c>
      <c r="C80" s="4" t="s">
        <v>65</v>
      </c>
      <c r="D80" s="5" t="s">
        <v>358</v>
      </c>
      <c r="E80" s="5" t="s">
        <v>359</v>
      </c>
      <c r="F80" s="1" t="str">
        <f>_xlfn.XLOOKUP(C80,'Drawing List Database'!D:D,'Drawing List Database'!B:B,0)</f>
        <v>TCC</v>
      </c>
    </row>
    <row r="81" ht="15.15" spans="2:6">
      <c r="B81" s="2" t="s">
        <v>360</v>
      </c>
      <c r="C81" s="4" t="s">
        <v>64</v>
      </c>
      <c r="D81" s="5" t="s">
        <v>361</v>
      </c>
      <c r="E81" s="5" t="s">
        <v>362</v>
      </c>
      <c r="F81" s="1" t="str">
        <f>_xlfn.XLOOKUP(C81,'Drawing List Database'!D:D,'Drawing List Database'!B:B,0)</f>
        <v>TCC</v>
      </c>
    </row>
    <row r="82" ht="15.15" spans="2:6">
      <c r="B82" s="2" t="s">
        <v>363</v>
      </c>
      <c r="C82" s="4" t="s">
        <v>62</v>
      </c>
      <c r="D82" s="5" t="s">
        <v>364</v>
      </c>
      <c r="E82" s="5" t="s">
        <v>365</v>
      </c>
      <c r="F82" s="1" t="str">
        <f>_xlfn.XLOOKUP(C82,'Drawing List Database'!D:D,'Drawing List Database'!B:B,0)</f>
        <v>TCC</v>
      </c>
    </row>
    <row r="83" ht="15.15" spans="2:6">
      <c r="B83" s="2" t="s">
        <v>366</v>
      </c>
      <c r="C83" s="4" t="s">
        <v>61</v>
      </c>
      <c r="D83" s="5" t="s">
        <v>367</v>
      </c>
      <c r="E83" s="5" t="s">
        <v>368</v>
      </c>
      <c r="F83" s="1" t="str">
        <f>_xlfn.XLOOKUP(C83,'Drawing List Database'!D:D,'Drawing List Database'!B:B,0)</f>
        <v>TCC</v>
      </c>
    </row>
    <row r="84" ht="15.15" spans="2:6">
      <c r="B84" s="2" t="s">
        <v>369</v>
      </c>
      <c r="C84" s="4" t="s">
        <v>60</v>
      </c>
      <c r="D84" s="5" t="s">
        <v>370</v>
      </c>
      <c r="E84" s="5" t="s">
        <v>371</v>
      </c>
      <c r="F84" s="1" t="str">
        <f>_xlfn.XLOOKUP(C84,'Drawing List Database'!D:D,'Drawing List Database'!B:B,0)</f>
        <v>TCC</v>
      </c>
    </row>
    <row r="85" ht="15.15" spans="2:6">
      <c r="B85" s="2" t="s">
        <v>372</v>
      </c>
      <c r="C85" s="4" t="s">
        <v>58</v>
      </c>
      <c r="D85" s="5" t="s">
        <v>373</v>
      </c>
      <c r="E85" s="5" t="s">
        <v>374</v>
      </c>
      <c r="F85" s="1" t="str">
        <f>_xlfn.XLOOKUP(C85,'Drawing List Database'!D:D,'Drawing List Database'!B:B,0)</f>
        <v>TCC</v>
      </c>
    </row>
    <row r="86" spans="2:6">
      <c r="B86" s="2" t="s">
        <v>146</v>
      </c>
      <c r="C86" s="2" t="s">
        <v>375</v>
      </c>
      <c r="D86" s="1" t="s">
        <v>147</v>
      </c>
      <c r="F86" s="1" t="s">
        <v>120</v>
      </c>
    </row>
  </sheetData>
  <autoFilter xmlns:etc="http://www.wps.cn/officeDocument/2017/etCustomData" ref="B2:E8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HTML Generator Dashboard</vt:lpstr>
      <vt:lpstr>Drawing List Database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decha</cp:lastModifiedBy>
  <dcterms:created xsi:type="dcterms:W3CDTF">2026-05-24T10:34:00Z</dcterms:created>
  <dcterms:modified xsi:type="dcterms:W3CDTF">2026-06-05T11:38:21Z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26CC60010E5E4A14B8851640546B036E_12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